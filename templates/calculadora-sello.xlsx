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autoCompressPictures="0" defaultThemeVersion="124226"/>
  <mc:AlternateContent xmlns:mc="http://schemas.openxmlformats.org/markup-compatibility/2006">
    <mc:Choice Requires="x15">
      <x15ac:absPath xmlns:x15ac="http://schemas.microsoft.com/office/spreadsheetml/2010/11/ac" url="/Volumes/Untitled/PACHUCA 1 Y 2 OCT/14 JUNIO 2026/ARCHIVO HOTEL EMILY 06-05-2026/"/>
    </mc:Choice>
  </mc:AlternateContent>
  <xr:revisionPtr revIDLastSave="0" documentId="13_ncr:1_{64238544-B541-E942-83B0-F19610356587}" xr6:coauthVersionLast="36" xr6:coauthVersionMax="47" xr10:uidLastSave="{00000000-0000-0000-0000-000000000000}"/>
  <bookViews>
    <workbookView xWindow="4460" yWindow="1120" windowWidth="21840" windowHeight="13140" activeTab="1" xr2:uid="{00000000-000D-0000-FFFF-FFFF00000000}"/>
  </bookViews>
  <sheets>
    <sheet name="Instructivo " sheetId="15" r:id="rId1"/>
    <sheet name="Lista de Verificación" sheetId="12" r:id="rId2"/>
    <sheet name="REPORTE DE EVALUACIÓN" sheetId="13" r:id="rId3"/>
  </sheets>
  <calcPr calcId="181029"/>
  <extLst>
    <ext xmlns:mx="http://schemas.microsoft.com/office/mac/excel/2008/main" uri="{7523E5D3-25F3-A5E0-1632-64F254C22452}">
      <mx:ArchID Flags="2"/>
    </ext>
  </extLst>
</workbook>
</file>

<file path=xl/calcChain.xml><?xml version="1.0" encoding="utf-8"?>
<calcChain xmlns="http://schemas.openxmlformats.org/spreadsheetml/2006/main">
  <c r="C102" i="13" l="1"/>
  <c r="D102" i="13" s="1"/>
  <c r="C101" i="13"/>
  <c r="D101" i="13" s="1"/>
  <c r="C98" i="13"/>
  <c r="D98" i="13" s="1"/>
  <c r="C97" i="13"/>
  <c r="D97" i="13" s="1"/>
  <c r="C88" i="13"/>
  <c r="D88" i="13" s="1"/>
  <c r="C87" i="13"/>
  <c r="D87" i="13" s="1"/>
  <c r="C84" i="13"/>
  <c r="D84" i="13" s="1"/>
  <c r="C83" i="13"/>
  <c r="D83" i="13" s="1"/>
  <c r="C74" i="13"/>
  <c r="D74" i="13" s="1"/>
  <c r="C73" i="13"/>
  <c r="D73" i="13" s="1"/>
  <c r="C70" i="13"/>
  <c r="D70" i="13" s="1"/>
  <c r="C69" i="13"/>
  <c r="D69" i="13" s="1"/>
  <c r="C60" i="13"/>
  <c r="D60" i="13" s="1"/>
  <c r="C59" i="13"/>
  <c r="D59" i="13" s="1"/>
  <c r="C56" i="13"/>
  <c r="D56" i="13" s="1"/>
  <c r="C55" i="13"/>
  <c r="D55" i="13" s="1"/>
  <c r="C46" i="13"/>
  <c r="D46" i="13" s="1"/>
  <c r="C45" i="13"/>
  <c r="D45" i="13" s="1"/>
  <c r="C42" i="13"/>
  <c r="D42" i="13" s="1"/>
  <c r="C41" i="13"/>
  <c r="D41" i="13" s="1"/>
  <c r="C17" i="13"/>
  <c r="D17" i="13" s="1"/>
  <c r="C16" i="13"/>
  <c r="D16" i="13" s="1"/>
  <c r="C13" i="13"/>
  <c r="D13" i="13" s="1"/>
  <c r="C12" i="13"/>
  <c r="D12" i="13" s="1"/>
  <c r="F49" i="12"/>
  <c r="G49" i="12" s="1"/>
  <c r="F48" i="12"/>
  <c r="G48" i="12" s="1"/>
  <c r="F45" i="12"/>
  <c r="G45" i="12" s="1"/>
  <c r="F44" i="12"/>
  <c r="G44" i="12" s="1"/>
  <c r="B95" i="13"/>
  <c r="B81" i="13"/>
  <c r="B67" i="13"/>
  <c r="B53" i="13"/>
  <c r="B39" i="13"/>
  <c r="E33" i="13"/>
  <c r="D33" i="13"/>
  <c r="C33" i="13"/>
  <c r="D26" i="12"/>
  <c r="D22" i="12"/>
  <c r="D8" i="12"/>
  <c r="D24" i="12"/>
  <c r="D7" i="12"/>
  <c r="D33" i="12"/>
  <c r="D17" i="12"/>
  <c r="D34" i="12"/>
  <c r="D35" i="12"/>
  <c r="D40" i="12"/>
  <c r="D23" i="12"/>
  <c r="D36" i="12"/>
  <c r="D25" i="12"/>
  <c r="D39" i="12"/>
  <c r="D32" i="12"/>
  <c r="D31" i="12"/>
  <c r="D21" i="12"/>
  <c r="D20" i="12"/>
  <c r="D38" i="12"/>
  <c r="D19" i="12"/>
  <c r="D18" i="12"/>
  <c r="D30" i="12"/>
  <c r="D29" i="12"/>
  <c r="D28" i="12"/>
  <c r="D27" i="12"/>
  <c r="D16" i="12"/>
  <c r="D15" i="12"/>
  <c r="D14" i="12"/>
  <c r="D13" i="12"/>
  <c r="D12" i="12"/>
  <c r="D11" i="12"/>
  <c r="D10" i="12"/>
  <c r="D9" i="12"/>
  <c r="D6" i="12"/>
  <c r="D5" i="12"/>
  <c r="D4" i="12"/>
  <c r="D37" i="12"/>
  <c r="D3" i="12"/>
  <c r="D2" i="12"/>
  <c r="D43" i="13" l="1"/>
  <c r="E42" i="13" s="1"/>
  <c r="D47" i="13"/>
  <c r="E46" i="13" s="1"/>
  <c r="D75" i="13"/>
  <c r="E73" i="13" s="1"/>
  <c r="D99" i="13"/>
  <c r="E97" i="13" s="1"/>
  <c r="D14" i="13"/>
  <c r="E13" i="13" s="1"/>
  <c r="D57" i="13"/>
  <c r="E56" i="13" s="1"/>
  <c r="D71" i="13"/>
  <c r="E70" i="13" s="1"/>
  <c r="D18" i="13"/>
  <c r="E17" i="13" s="1"/>
  <c r="D89" i="13"/>
  <c r="E88" i="13" s="1"/>
  <c r="D61" i="13"/>
  <c r="D103" i="13"/>
  <c r="E102" i="13" s="1"/>
  <c r="G46" i="12"/>
  <c r="H44" i="12" s="1"/>
  <c r="D85" i="13"/>
  <c r="G50" i="12"/>
  <c r="H48" i="12" s="1"/>
  <c r="E41" i="13" l="1"/>
  <c r="E45" i="13"/>
  <c r="D49" i="13"/>
  <c r="E12" i="13"/>
  <c r="E98" i="13"/>
  <c r="D63" i="13"/>
  <c r="E74" i="13"/>
  <c r="D20" i="13"/>
  <c r="B22" i="13" s="1"/>
  <c r="E55" i="13"/>
  <c r="E59" i="13"/>
  <c r="E87" i="13"/>
  <c r="D77" i="13"/>
  <c r="H45" i="12"/>
  <c r="E69" i="13"/>
  <c r="E101" i="13"/>
  <c r="D105" i="13"/>
  <c r="E60" i="13"/>
  <c r="E16" i="13"/>
  <c r="D91" i="13"/>
  <c r="E83" i="13"/>
  <c r="E84" i="13"/>
  <c r="G52" i="12"/>
  <c r="E54" i="12" s="1"/>
  <c r="H49" i="12"/>
  <c r="E20" i="13" l="1"/>
</calcChain>
</file>

<file path=xl/sharedStrings.xml><?xml version="1.0" encoding="utf-8"?>
<sst xmlns="http://schemas.openxmlformats.org/spreadsheetml/2006/main" count="305" uniqueCount="138">
  <si>
    <t>Familia</t>
  </si>
  <si>
    <t>Indicador</t>
  </si>
  <si>
    <t>Matriz de Clasificación de Indicadores</t>
  </si>
  <si>
    <t>CÓDIGO</t>
  </si>
  <si>
    <t>X</t>
  </si>
  <si>
    <t>¿El establecimiento cuenta con instalaciones y servicios de spa?</t>
  </si>
  <si>
    <t>¿El establecimiento cuenta con instalaciones de sauna y/o vapor?</t>
  </si>
  <si>
    <t>¿El establecimiento cuenta con vistas escénicas y/o lugares de relajación?</t>
  </si>
  <si>
    <t>¿El establecimiento cuenta con menú de alimentación saludable, diseñado por expertos?</t>
  </si>
  <si>
    <t>¿El personal está capacitado en la terminología médica utilizada en turismo de salud, tanto en inglés como en español?</t>
  </si>
  <si>
    <t>¿El establecimiento cuenta con convenios con empresas de servicio de ambulancia?</t>
  </si>
  <si>
    <t>¿El establecimiento cuenta con personal capacitado para dar atención al paciente en recuperación?</t>
  </si>
  <si>
    <t>¿El establecimiento cuenta con personal técnico y profesional certificado?</t>
  </si>
  <si>
    <t>INDICADORES</t>
  </si>
  <si>
    <t>Total</t>
  </si>
  <si>
    <t>TOTAL</t>
  </si>
  <si>
    <t>¿El establecimiento cuenta con habitaciones comunicadas para paciente y familiares?</t>
  </si>
  <si>
    <t>¿El establecimiento cuenta con presencia en redes sociales con información de turismo de salud?</t>
  </si>
  <si>
    <t>¿El establecimiento cuenta con información de sitios turísticos de bienestar y relajación?</t>
  </si>
  <si>
    <t>¿El establecimiento cuenta con alguna sinergia comprobable en el extranjero para captación de pacientes?</t>
  </si>
  <si>
    <t>¿El establecimiento cuenta con paquetes especiales en habitaciones para familiares de pacientes?</t>
  </si>
  <si>
    <t>¿El establecimiento cuenta con gimnasio?</t>
  </si>
  <si>
    <t>¿El establecimiento cuenta con certificaciones y/o acreditaciones médicas nacionales?</t>
  </si>
  <si>
    <t>¿El establecimiento cuenta con tina de hidromasaje?</t>
  </si>
  <si>
    <t>¿El personal está capacitado en los temas de turismo de salud?</t>
  </si>
  <si>
    <t>¿El personal está capacitado en la atención y servicio que se debe ofrecer en el turismo de salud?</t>
  </si>
  <si>
    <t>¿Los empleados de contacto con el cliente toman cursos de inglés y de atención al cliente al menos 2 veces al año?</t>
  </si>
  <si>
    <t>SI</t>
  </si>
  <si>
    <t>PORCENTAJE DE CUMPLIMIENTO</t>
  </si>
  <si>
    <t>Observaciones (¿porqué no aplica?)</t>
  </si>
  <si>
    <t>Evidencias de cumplimiento</t>
  </si>
  <si>
    <t>Indicadores</t>
  </si>
  <si>
    <t>Puntos</t>
  </si>
  <si>
    <t>Distribución</t>
  </si>
  <si>
    <t>Total de indicadores deseables que aplican</t>
  </si>
  <si>
    <t>Total de indicadores obligatorios que aplican</t>
  </si>
  <si>
    <t>Total de puntos que aplican</t>
  </si>
  <si>
    <t>Total de indicadores obligatorios que aplican y se cumplieron</t>
  </si>
  <si>
    <t>Total de indicadores deseables que aplican y se cumplieron</t>
  </si>
  <si>
    <t>Total de puntos que aplican y se cumplieron</t>
  </si>
  <si>
    <t>PORCENTAJE DE CUMPLIMIENTO GENERAL</t>
  </si>
  <si>
    <t>1.- Comunicación</t>
  </si>
  <si>
    <t>2.- Instalaciones</t>
  </si>
  <si>
    <t>3.- Transparencia</t>
  </si>
  <si>
    <t>5.- Educación</t>
  </si>
  <si>
    <t>Resultados por familia de Indicadores</t>
  </si>
  <si>
    <t>TOTAL DE PUNTOS QUE APLICAN</t>
  </si>
  <si>
    <t>TOTAL DE PUNTOS QUE APLICAN Y SE CUMPLIERON</t>
  </si>
  <si>
    <t>Familias de Indicadores</t>
  </si>
  <si>
    <t>Cálculo de Resultados</t>
  </si>
  <si>
    <t>Aplica (Si-No)</t>
  </si>
  <si>
    <t>NO cumple</t>
  </si>
  <si>
    <t>SI cumple</t>
  </si>
  <si>
    <t>INSTRUCTIVO DE USO</t>
  </si>
  <si>
    <t>Contenido</t>
  </si>
  <si>
    <t>1. Instructivo</t>
  </si>
  <si>
    <t>2. Lista de Verificación</t>
  </si>
  <si>
    <t>3. Reporte de Evaluación</t>
  </si>
  <si>
    <t>Reporte de Evaluación</t>
  </si>
  <si>
    <t>Consultor:</t>
  </si>
  <si>
    <t>Este archivo está compuesto por tres pestañas las cuales encontraremos en la parte inferior izquierda del documento:</t>
  </si>
  <si>
    <t>En la lista de verificación nos encontramos con las siguientes columnas:</t>
  </si>
  <si>
    <t>Llenado de la lista de Verificación</t>
  </si>
  <si>
    <t>Llenado del Reporte de Evaluación</t>
  </si>
  <si>
    <t>4.- Servicio</t>
  </si>
  <si>
    <t>¿El establecimiento cuenta con señalética básica en inglés?</t>
  </si>
  <si>
    <t>¿El establecimiento cuenta con sinergias comerciales con hospitales, clínicas, spas, centros de relajación, centros de retiro, etc., relacionadas con el turismo de salud?</t>
  </si>
  <si>
    <t>¿Se hace del conocimiento del turista de salud el tipo de cambio a la fecha pesos-dólares?</t>
  </si>
  <si>
    <t>¿Se le informa al turista de salud, en inglés, las políticas de servicio y de cobro antes de prestar el servicio?</t>
  </si>
  <si>
    <t>¿El personal médico que atiende al turista de salud domina el idioma inglés?</t>
  </si>
  <si>
    <t>¿Se cuenta con personal de atención que hable inglés, ya sea interno o externo, para prestar asistencia y asesoría al turista de salud durante su estancia?</t>
  </si>
  <si>
    <t>¿El establecimiento cuenta con elementos promocionales de turismo de salud en inglés en su página de internet?</t>
  </si>
  <si>
    <t>¿El establecimiento conoce a detalle la lista de empresas publicadas en “Visit Mexico” y los servicios de turismo de salud que ofrecen?</t>
  </si>
  <si>
    <t>¿El establecimiento participa en sitios de referencia turística?</t>
  </si>
  <si>
    <t>¿El Establecimiento cuenta con habitaciones especiales para recuperación del paciente?</t>
  </si>
  <si>
    <t>¿El establecimiento cuenta con un catálogo de precios de servicios de salud actualizado (médicos y de bienestar)?</t>
  </si>
  <si>
    <t>¿El establecimiento cuenta con un catálogo de servicios de salud certificados (médicos y de bienestar)?</t>
  </si>
  <si>
    <t>¿El catálogo de servicios está impreso en inglés y describe los costos de los servicios con cargo extra explícitamente señalados, así como indicando definición del servicio, horario de las prestaciones y en el caso que éstos sean proporcionados por terceros, lugar o teléfono donde se pueden contratar?</t>
  </si>
  <si>
    <t>¿Los artículos y precios de los productos o servicios se presentan en dólares y/o pesos?</t>
  </si>
  <si>
    <t>¿El establecimiento cuenta con distintivos H y/o Punto Limpio?</t>
  </si>
  <si>
    <t>¿El establecimiento pertenece o está vinculado a alguna asociación o clúster de turismo de salud?</t>
  </si>
  <si>
    <t>¿El menú cuenta con la traducción de los platillos en inglés para facilitar la experiencia de ordenar?</t>
  </si>
  <si>
    <t>¿Los formatos básicos del establecimiento: consentimientos, registros, recepción, encuestas de satisfacción y permisos así como la información clínica se encuentran traducidos al inglés?</t>
  </si>
  <si>
    <t>Prioritarios</t>
  </si>
  <si>
    <t>Complementarios</t>
  </si>
  <si>
    <t>Total de indicadores prioritarios que aplican</t>
  </si>
  <si>
    <t>Total de indicadores prioritarios que aplican y se cumplieron</t>
  </si>
  <si>
    <t>Total de indicadores complementarios que aplican</t>
  </si>
  <si>
    <t>Total de indicadores complementarios que aplican y se cumplieron</t>
  </si>
  <si>
    <t>P</t>
  </si>
  <si>
    <t>TIPO</t>
  </si>
  <si>
    <t>C</t>
  </si>
  <si>
    <t>¿El establecimiento cuenta con certificaciones y/o acreditaciones médicas internacionales? (Joint Commission International)</t>
  </si>
  <si>
    <t>¿El establecimiento cuenta con sinergias empresariales que le permitan ofrecer servicios adicionales con personal capacitado para atender al turista de salud como: taxi, ambulancia, mapas, etc.?</t>
  </si>
  <si>
    <t xml:space="preserve">MSE: TURISMO DE SALUD </t>
  </si>
  <si>
    <t>NO</t>
  </si>
  <si>
    <t>CYNTHIA ERICKA GARCIA DIAZ</t>
  </si>
  <si>
    <t xml:space="preserve"> □    Incicial          X.   Final                         Fecha de aplicación: </t>
  </si>
  <si>
    <t>No aplica por ser HOTEL</t>
  </si>
  <si>
    <t>Capturas de pantalla de la página web, el botón de traducción y los servicios de salud y bienestar que ofrece la empresa.</t>
  </si>
  <si>
    <t>Capturas de pantalla de las publicaciones de salud y bienestar de la empresa en redes sociales.</t>
  </si>
  <si>
    <t>Evidencia de cada sinergia la cual incluye foto del lugar, dirección, página de Facebook, fotos de convenios firmados, catálogos de servicios y precios</t>
  </si>
  <si>
    <t>Capturas de pantalla de la página web de VisitMéxico, el chat con la asistencia virtual, y captura de la solicitud de registro en la página de VisitMéxico.</t>
  </si>
  <si>
    <t>Fotografías como evidencia del lugar donde la empresa tiene la información de sitios turísticos de salud y bienestar.</t>
  </si>
  <si>
    <t>Capturas de pantalla de los diferentes portales de reservación en los que tiene presencia la empresa, así como su respectivo enlace.</t>
  </si>
  <si>
    <t>Capturas de pantalla y fotografías de los convenios firmados y pagina de cada una de las sinergias.</t>
  </si>
  <si>
    <t>Fotografías de las habitaciones con las que cuenta la empresa de acuerdo con las necesidades de un paciente en recuperación.</t>
  </si>
  <si>
    <t>Evidencia fotográfica de paquete especial, el cual se encuentra de forma impresa en la recepción y el lobby de la empresa.</t>
  </si>
  <si>
    <t>Evidencia fotográfica de las habitaciones comunicadas.</t>
  </si>
  <si>
    <t>Evidencia fotográfica del lugar, así como capturas de sus catálogos de servicios y precios, así fotografías de la sinergia firmada.</t>
  </si>
  <si>
    <t>Evidencia fotográfica de la tina de hidromasaje con la que cuenta la sinergia de la empresa, y fotografía de la sinergia firmada.</t>
  </si>
  <si>
    <t>Evidencia fotográfica de las instalaciones del lugar y de la sinergia firmada.</t>
  </si>
  <si>
    <t>Evidencia fotográfica del gimnasio de la empresa, así como capturas de pantalla de las publicaciones del servicio de gimnasio en las redes sociales de la empresa.</t>
  </si>
  <si>
    <t>Evidencia fotográfica de las vistas escénicas con las que cuenta la empresa, las cuales fueron tomadas en una habitación y un salón de eventos con los que cuenta la empresa.</t>
  </si>
  <si>
    <t>Evidencia fotográfica de la señalética ubicada en la empresa.</t>
  </si>
  <si>
    <t>Evidencia fotográfica y capturas de los catálogos de servicios y precios de las sinergias, así como la promoción especial propia de la empresa.</t>
  </si>
  <si>
    <t>Evidencia fotográfica de los catálogos promocionales en inglés de la empresa y de las sinergias con las que cuenta la empresa.</t>
  </si>
  <si>
    <t>Capturas de pantalla del promocional de la empresa con los precios en dólares, así como el de la sinergia Terapia Móvil</t>
  </si>
  <si>
    <t>Evidencia fotográfica del tipo de cambio que se encuentra en la recepción y captura de pantalla de la página del diario oficial de la federación donde se ve publicado el tipo de cambio del día.</t>
  </si>
  <si>
    <t>Capturas de pantalla de como arroja el sistema los registros en inglés y en español, así como documentos de las sinergias donde muestra sus políticas en inglés.</t>
  </si>
  <si>
    <t>NO APLICA POR SER HOTEL</t>
  </si>
  <si>
    <t>Evidencia fotográfica de los distintivos, así como del lugar al que corresponde el distintivo.</t>
  </si>
  <si>
    <t>Evidencia fotográfica del menú saludable y la documentación del experto.</t>
  </si>
  <si>
    <t>Evidencia fotográfica de cada uno de los curos en las dos fechas indicadas, captura de pantalla de la convocatoria a la capacitación, foto de la lista de asistencia, y foto de los diplomas obtenidos por el personal de la empresa.</t>
  </si>
  <si>
    <t>Evidencia fotográfica del convenio firmado.</t>
  </si>
  <si>
    <t>Evidencia fotográfica de la capacitación del personal de la empresa, así como fotos de los documentos y certificaciones del personal certificado de las sinergias.</t>
  </si>
  <si>
    <t>Capturas de pantalla del pago realizado a las asociaciones, así como la factura y las constancias de casa asociación.</t>
  </si>
  <si>
    <t>Evidencia con fotografías y documentos escaneados de los certificados del personal que labora en la sinergia</t>
  </si>
  <si>
    <t>Evidencia fotográfica de certificado TOEFL de la recepcionista de la empresa, así como fotos de los certificados entregados al personal de la empresa que asistió a la captación del idioma inglés en terminología médica.</t>
  </si>
  <si>
    <t>Evidencia fotográfica y menú escaneado en inglés y en español con los que cuenta la empresa.</t>
  </si>
  <si>
    <t>Evidencia fotográfica de las sinergias del servicio de ambulancia (convenio y fotos de las instalaciones) y de la sinergia con servicios de taxis (tarifas, licencias, unidades y fotos).</t>
  </si>
  <si>
    <t>Evidencia fotográfica de los formatos en ingles con los que cuenta la empresa.</t>
  </si>
  <si>
    <t>Evidencia fotográfica de las secciones de capacitación que tuvo el personal de la empresa.</t>
  </si>
  <si>
    <t xml:space="preserve">Evidencia fotográfica de las certificaciones del personal que labora en la sinergia. </t>
  </si>
  <si>
    <t>Evidencia fotográfica de la capacitación impartida al personal de la empresa en materia de turismo de salud.</t>
  </si>
  <si>
    <t>Evidencia fotográfica de las capacitaciones impartidas al personal de la empresa.</t>
  </si>
  <si>
    <t>Empresa:  HOTEL EMILY. OPERADORA DE NEGOCIOS RORE S. DE R.L. DE C.V.</t>
  </si>
  <si>
    <t>22 DE JUNIO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</si>
</sst>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11"/>
      <color theme="1"/>
      <name val="Calibri"/>
      <family val="2"/>
      <scheme val="minor"/>
    </font>
    <font>
      <b/>
      <sz val="11"/>
      <color theme="0"/>
      <name val="Calibri"/>
      <family val="2"/>
      <scheme val="minor"/>
    </font>
    <font>
      <sz val="16"/>
      <color theme="1"/>
      <name val="Verdana"/>
      <family val="2"/>
    </font>
    <font>
      <b/>
      <sz val="14"/>
      <color theme="1"/>
      <name val="Calibri"/>
      <family val="2"/>
      <scheme val="minor"/>
    </font>
    <font>
      <b/>
      <sz val="11"/>
      <color theme="6" tint="-0.499984740745262"/>
      <name val="Calibri"/>
      <family val="2"/>
      <scheme val="minor"/>
    </font>
    <font>
      <b/>
      <sz val="14"/>
      <color theme="6" tint="-0.499984740745262"/>
      <name val="Calibri"/>
      <family val="2"/>
      <scheme val="minor"/>
    </font>
    <font>
      <b/>
      <sz val="11"/>
      <color theme="5" tint="-0.249977111117893"/>
      <name val="Calibri"/>
      <family val="2"/>
      <scheme val="minor"/>
    </font>
    <font>
      <sz val="11"/>
      <name val="Calibri"/>
      <family val="2"/>
      <scheme val="minor"/>
    </font>
    <font>
      <b/>
      <sz val="11"/>
      <name val="Calibri"/>
      <family val="2"/>
      <scheme val="minor"/>
    </font>
    <font>
      <b/>
      <sz val="14"/>
      <color theme="0"/>
      <name val="Calibri"/>
      <family val="2"/>
      <scheme val="minor"/>
    </font>
    <font>
      <b/>
      <i/>
      <sz val="12"/>
      <color theme="0"/>
      <name val="Calibri"/>
      <family val="2"/>
      <scheme val="minor"/>
    </font>
    <font>
      <b/>
      <sz val="16"/>
      <color theme="0"/>
      <name val="Calibri"/>
      <family val="2"/>
      <scheme val="minor"/>
    </font>
    <font>
      <b/>
      <sz val="10"/>
      <name val="Calibri"/>
      <family val="2"/>
      <scheme val="minor"/>
    </font>
    <font>
      <b/>
      <sz val="16"/>
      <name val="Calibri"/>
      <family val="2"/>
      <scheme val="minor"/>
    </font>
    <font>
      <b/>
      <sz val="12"/>
      <color theme="0"/>
      <name val="Calibri"/>
      <family val="2"/>
      <scheme val="minor"/>
    </font>
    <font>
      <b/>
      <sz val="12"/>
      <color theme="6" tint="-0.499984740745262"/>
      <name val="Calibri"/>
      <family val="2"/>
      <scheme val="minor"/>
    </font>
    <font>
      <sz val="11"/>
      <color theme="6" tint="-0.499984740745262"/>
      <name val="Calibri"/>
      <family val="2"/>
      <scheme val="minor"/>
    </font>
    <font>
      <sz val="10"/>
      <color theme="1"/>
      <name val="Calibri"/>
      <family val="2"/>
      <scheme val="minor"/>
    </font>
    <font>
      <sz val="12"/>
      <color theme="6" tint="-0.499984740745262"/>
      <name val="Calibri"/>
      <family val="2"/>
      <scheme val="minor"/>
    </font>
    <font>
      <b/>
      <sz val="10"/>
      <color theme="6" tint="-0.499984740745262"/>
      <name val="Calibri"/>
      <family val="2"/>
      <scheme val="minor"/>
    </font>
    <font>
      <b/>
      <sz val="10"/>
      <color theme="5" tint="-0.249977111117893"/>
      <name val="Calibri"/>
      <family val="2"/>
      <scheme val="minor"/>
    </font>
    <font>
      <sz val="8"/>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5"/>
      </patternFill>
    </fill>
    <fill>
      <patternFill patternType="solid">
        <fgColor theme="6" tint="-0.249977111117893"/>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499984740745262"/>
        <bgColor indexed="64"/>
      </patternFill>
    </fill>
  </fills>
  <borders count="35">
    <border>
      <left/>
      <right/>
      <top/>
      <bottom/>
      <diagonal/>
    </border>
    <border>
      <left/>
      <right/>
      <top/>
      <bottom style="thin">
        <color theme="6" tint="-0.499984740745262"/>
      </bottom>
      <diagonal/>
    </border>
    <border>
      <left style="thin">
        <color theme="6" tint="-0.499984740745262"/>
      </left>
      <right/>
      <top/>
      <bottom/>
      <diagonal/>
    </border>
    <border>
      <left style="thin">
        <color theme="6" tint="-0.499984740745262"/>
      </left>
      <right/>
      <top/>
      <bottom style="thin">
        <color theme="6" tint="-0.499984740745262"/>
      </bottom>
      <diagonal/>
    </border>
    <border>
      <left/>
      <right style="thin">
        <color theme="6" tint="-0.499984740745262"/>
      </right>
      <top/>
      <bottom style="thin">
        <color theme="6" tint="-0.499984740745262"/>
      </bottom>
      <diagonal/>
    </border>
    <border>
      <left style="medium">
        <color theme="6" tint="-0.499984740745262"/>
      </left>
      <right/>
      <top style="medium">
        <color theme="6" tint="-0.499984740745262"/>
      </top>
      <bottom/>
      <diagonal/>
    </border>
    <border>
      <left/>
      <right/>
      <top style="medium">
        <color theme="6" tint="-0.499984740745262"/>
      </top>
      <bottom/>
      <diagonal/>
    </border>
    <border>
      <left/>
      <right style="medium">
        <color theme="6" tint="-0.499984740745262"/>
      </right>
      <top style="medium">
        <color theme="6" tint="-0.499984740745262"/>
      </top>
      <bottom/>
      <diagonal/>
    </border>
    <border>
      <left style="medium">
        <color theme="6" tint="-0.499984740745262"/>
      </left>
      <right/>
      <top/>
      <bottom/>
      <diagonal/>
    </border>
    <border>
      <left/>
      <right style="medium">
        <color theme="6" tint="-0.499984740745262"/>
      </right>
      <top/>
      <bottom/>
      <diagonal/>
    </border>
    <border>
      <left style="thin">
        <color theme="6" tint="-0.499984740745262"/>
      </left>
      <right style="medium">
        <color theme="6" tint="-0.499984740745262"/>
      </right>
      <top/>
      <bottom/>
      <diagonal/>
    </border>
    <border>
      <left style="medium">
        <color theme="6" tint="-0.499984740745262"/>
      </left>
      <right/>
      <top/>
      <bottom style="medium">
        <color theme="6" tint="-0.499984740745262"/>
      </bottom>
      <diagonal/>
    </border>
    <border>
      <left/>
      <right/>
      <top/>
      <bottom style="medium">
        <color theme="6" tint="-0.499984740745262"/>
      </bottom>
      <diagonal/>
    </border>
    <border>
      <left/>
      <right style="medium">
        <color theme="6" tint="-0.499984740745262"/>
      </right>
      <top/>
      <bottom style="medium">
        <color theme="6" tint="-0.499984740745262"/>
      </bottom>
      <diagonal/>
    </border>
    <border>
      <left style="thin">
        <color theme="6" tint="-0.499984740745262"/>
      </left>
      <right/>
      <top style="thin">
        <color theme="6" tint="-0.499984740745262"/>
      </top>
      <bottom style="thin">
        <color theme="6" tint="-0.499984740745262"/>
      </bottom>
      <diagonal/>
    </border>
    <border>
      <left/>
      <right/>
      <top style="thin">
        <color theme="6" tint="-0.499984740745262"/>
      </top>
      <bottom style="thin">
        <color theme="6" tint="-0.499984740745262"/>
      </bottom>
      <diagonal/>
    </border>
    <border>
      <left/>
      <right style="thin">
        <color theme="6" tint="-0.499984740745262"/>
      </right>
      <top style="thin">
        <color theme="6" tint="-0.499984740745262"/>
      </top>
      <bottom style="thin">
        <color theme="6" tint="-0.499984740745262"/>
      </bottom>
      <diagonal/>
    </border>
    <border>
      <left style="thin">
        <color theme="6" tint="-0.499984740745262"/>
      </left>
      <right/>
      <top style="thin">
        <color theme="6" tint="-0.499984740745262"/>
      </top>
      <bottom/>
      <diagonal/>
    </border>
    <border>
      <left/>
      <right/>
      <top style="thin">
        <color theme="6" tint="-0.499984740745262"/>
      </top>
      <bottom/>
      <diagonal/>
    </border>
    <border>
      <left/>
      <right style="thin">
        <color theme="6" tint="-0.499984740745262"/>
      </right>
      <top style="thin">
        <color theme="6" tint="-0.499984740745262"/>
      </top>
      <bottom/>
      <diagonal/>
    </border>
    <border>
      <left/>
      <right style="thin">
        <color theme="6" tint="-0.499984740745262"/>
      </right>
      <top/>
      <bottom/>
      <diagonal/>
    </border>
    <border>
      <left/>
      <right style="thin">
        <color theme="6" tint="-0.499984740745262"/>
      </right>
      <top style="thin">
        <color theme="6" tint="-0.499984740745262"/>
      </top>
      <bottom style="medium">
        <color theme="6"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theme="6" tint="-0.499984740745262"/>
      </top>
      <bottom style="thin">
        <color auto="1"/>
      </bottom>
      <diagonal/>
    </border>
    <border>
      <left/>
      <right/>
      <top style="thin">
        <color theme="6" tint="-0.499984740745262"/>
      </top>
      <bottom style="thin">
        <color auto="1"/>
      </bottom>
      <diagonal/>
    </border>
    <border>
      <left/>
      <right style="thin">
        <color auto="1"/>
      </right>
      <top style="thin">
        <color theme="6" tint="-0.499984740745262"/>
      </top>
      <bottom style="thin">
        <color auto="1"/>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style="thin">
        <color rgb="FF9BBB59"/>
      </left>
      <right style="thin">
        <color rgb="FF9BBB59"/>
      </right>
      <top style="thin">
        <color rgb="FF9BBB59"/>
      </top>
      <bottom style="thin">
        <color rgb="FF9BBB59"/>
      </bottom>
      <diagonal/>
    </border>
  </borders>
  <cellStyleXfs count="9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9" fontId="4" fillId="0" borderId="0" applyFon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2" borderId="0" applyNumberFormat="0" applyBorder="0" applyAlignment="0" applyProtection="0"/>
  </cellStyleXfs>
  <cellXfs count="109">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1" fillId="0" borderId="0" xfId="0" applyFont="1" applyAlignment="1">
      <alignment horizontal="center" vertical="center" textRotation="90"/>
    </xf>
    <xf numFmtId="0" fontId="0" fillId="0" borderId="0" xfId="0" applyAlignment="1">
      <alignment horizontal="center" vertical="center"/>
    </xf>
    <xf numFmtId="0" fontId="6" fillId="0" borderId="0" xfId="0" applyFont="1" applyAlignment="1">
      <alignment horizontal="center"/>
    </xf>
    <xf numFmtId="0" fontId="0" fillId="0" borderId="2"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1" fillId="0" borderId="0" xfId="0" applyFont="1" applyAlignment="1">
      <alignment vertical="center" wrapText="1"/>
    </xf>
    <xf numFmtId="0" fontId="11" fillId="0" borderId="0" xfId="0" applyFont="1" applyAlignment="1">
      <alignment vertical="center"/>
    </xf>
    <xf numFmtId="0" fontId="0" fillId="0" borderId="10" xfId="0" applyBorder="1"/>
    <xf numFmtId="0" fontId="0" fillId="0" borderId="11" xfId="0" applyBorder="1"/>
    <xf numFmtId="0" fontId="0" fillId="0" borderId="12" xfId="0" applyBorder="1"/>
    <xf numFmtId="0" fontId="0" fillId="0" borderId="13" xfId="0" applyBorder="1"/>
    <xf numFmtId="0" fontId="12" fillId="4" borderId="0" xfId="0" applyFont="1" applyFill="1" applyAlignment="1">
      <alignment horizontal="left" vertical="center"/>
    </xf>
    <xf numFmtId="0" fontId="12" fillId="4" borderId="0" xfId="0" applyFont="1" applyFill="1" applyAlignment="1">
      <alignment horizontal="right" vertical="center"/>
    </xf>
    <xf numFmtId="0" fontId="12" fillId="4" borderId="0" xfId="0" applyFont="1" applyFill="1" applyAlignment="1">
      <alignment horizontal="center" vertical="center"/>
    </xf>
    <xf numFmtId="0" fontId="11" fillId="0" borderId="0" xfId="0" applyFont="1" applyAlignment="1">
      <alignment horizontal="center" vertical="center"/>
    </xf>
    <xf numFmtId="9" fontId="11" fillId="0" borderId="0" xfId="49" applyFont="1" applyBorder="1" applyAlignment="1">
      <alignment horizontal="center" vertical="center"/>
    </xf>
    <xf numFmtId="0" fontId="12" fillId="4" borderId="0" xfId="0" applyFont="1" applyFill="1" applyAlignment="1">
      <alignment horizontal="right" vertical="center" wrapText="1"/>
    </xf>
    <xf numFmtId="0" fontId="11" fillId="4" borderId="0" xfId="0" applyFont="1" applyFill="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5" fillId="3" borderId="14" xfId="0" applyFont="1" applyFill="1" applyBorder="1" applyAlignment="1">
      <alignment horizontal="left" vertical="center" wrapText="1"/>
    </xf>
    <xf numFmtId="0" fontId="5" fillId="3" borderId="15" xfId="0" applyFont="1" applyFill="1" applyBorder="1" applyAlignment="1">
      <alignment vertical="center"/>
    </xf>
    <xf numFmtId="164" fontId="13" fillId="3" borderId="15" xfId="49" applyNumberFormat="1" applyFont="1" applyFill="1" applyBorder="1" applyAlignment="1">
      <alignment horizontal="left" vertical="center"/>
    </xf>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0" fontId="8" fillId="4" borderId="0" xfId="0" applyFont="1" applyFill="1" applyAlignment="1">
      <alignment horizontal="center"/>
    </xf>
    <xf numFmtId="0" fontId="10" fillId="4" borderId="0" xfId="0" applyFont="1" applyFill="1" applyAlignment="1">
      <alignment horizontal="center"/>
    </xf>
    <xf numFmtId="0" fontId="15" fillId="0" borderId="0" xfId="0" applyFont="1" applyAlignment="1">
      <alignment horizontal="left"/>
    </xf>
    <xf numFmtId="0" fontId="0" fillId="0" borderId="17" xfId="0" applyBorder="1"/>
    <xf numFmtId="0" fontId="0" fillId="0" borderId="18" xfId="0" applyBorder="1"/>
    <xf numFmtId="0" fontId="0" fillId="0" borderId="19" xfId="0" applyBorder="1"/>
    <xf numFmtId="0" fontId="0" fillId="0" borderId="20" xfId="0" applyBorder="1"/>
    <xf numFmtId="0" fontId="0" fillId="0" borderId="2" xfId="0" applyBorder="1" applyAlignment="1">
      <alignment horizontal="center"/>
    </xf>
    <xf numFmtId="0" fontId="0" fillId="0" borderId="3" xfId="0" applyBorder="1"/>
    <xf numFmtId="0" fontId="0" fillId="0" borderId="1" xfId="0" applyBorder="1"/>
    <xf numFmtId="0" fontId="0" fillId="0" borderId="4" xfId="0" applyBorder="1"/>
    <xf numFmtId="0" fontId="5" fillId="3" borderId="17" xfId="0" applyFont="1" applyFill="1" applyBorder="1" applyAlignment="1">
      <alignment horizontal="left" vertical="center" wrapText="1"/>
    </xf>
    <xf numFmtId="0" fontId="5" fillId="3" borderId="18" xfId="0" applyFont="1" applyFill="1" applyBorder="1" applyAlignment="1">
      <alignment vertical="center"/>
    </xf>
    <xf numFmtId="164" fontId="13" fillId="3" borderId="18" xfId="49" applyNumberFormat="1" applyFont="1" applyFill="1" applyBorder="1" applyAlignment="1">
      <alignment horizontal="left" vertical="center"/>
    </xf>
    <xf numFmtId="0" fontId="14" fillId="3" borderId="19" xfId="0" applyFont="1" applyFill="1" applyBorder="1" applyAlignment="1">
      <alignment horizontal="center" vertical="center"/>
    </xf>
    <xf numFmtId="0" fontId="14" fillId="3" borderId="21" xfId="0" applyFont="1" applyFill="1" applyBorder="1" applyAlignment="1">
      <alignment horizontal="center" vertical="center"/>
    </xf>
    <xf numFmtId="0" fontId="5" fillId="3" borderId="23" xfId="0" applyFont="1" applyFill="1" applyBorder="1" applyAlignment="1">
      <alignment horizontal="left" vertical="center" wrapText="1"/>
    </xf>
    <xf numFmtId="0" fontId="14" fillId="3" borderId="25" xfId="0" applyFont="1" applyFill="1" applyBorder="1" applyAlignment="1">
      <alignment horizontal="center" vertical="center"/>
    </xf>
    <xf numFmtId="0" fontId="11" fillId="0" borderId="26" xfId="0" applyFont="1" applyBorder="1" applyAlignment="1">
      <alignment vertical="center" wrapText="1"/>
    </xf>
    <xf numFmtId="9" fontId="11" fillId="0" borderId="27" xfId="49" applyFont="1" applyBorder="1" applyAlignment="1">
      <alignment horizontal="center" vertical="center"/>
    </xf>
    <xf numFmtId="0" fontId="12" fillId="4" borderId="26" xfId="0" applyFont="1" applyFill="1" applyBorder="1" applyAlignment="1">
      <alignment horizontal="right" vertical="center" wrapText="1"/>
    </xf>
    <xf numFmtId="0" fontId="12" fillId="4" borderId="27" xfId="0" applyFont="1" applyFill="1" applyBorder="1" applyAlignment="1">
      <alignment horizontal="center" vertical="center"/>
    </xf>
    <xf numFmtId="0" fontId="11" fillId="4" borderId="27" xfId="0" applyFont="1" applyFill="1" applyBorder="1" applyAlignment="1">
      <alignment horizontal="center" vertical="center"/>
    </xf>
    <xf numFmtId="0" fontId="0" fillId="0" borderId="26" xfId="0" applyBorder="1" applyAlignment="1">
      <alignment vertical="center" wrapText="1"/>
    </xf>
    <xf numFmtId="0" fontId="11" fillId="0" borderId="27" xfId="0" applyFont="1" applyBorder="1" applyAlignment="1">
      <alignment horizontal="center" vertical="center"/>
    </xf>
    <xf numFmtId="0" fontId="5" fillId="3" borderId="24" xfId="0" applyFont="1" applyFill="1" applyBorder="1" applyAlignment="1">
      <alignment horizontal="center" vertical="center"/>
    </xf>
    <xf numFmtId="164" fontId="13" fillId="3" borderId="24" xfId="49" applyNumberFormat="1" applyFont="1" applyFill="1" applyBorder="1" applyAlignment="1">
      <alignment horizontal="center" vertical="center"/>
    </xf>
    <xf numFmtId="0" fontId="0" fillId="0" borderId="27" xfId="0" applyBorder="1" applyAlignment="1">
      <alignment horizontal="center" vertical="center"/>
    </xf>
    <xf numFmtId="0" fontId="0" fillId="0" borderId="0" xfId="0" applyAlignment="1">
      <alignment horizontal="left" vertical="center" wrapText="1"/>
    </xf>
    <xf numFmtId="0" fontId="12" fillId="4" borderId="22" xfId="0" applyFont="1" applyFill="1" applyBorder="1" applyAlignment="1">
      <alignment horizontal="left" vertical="center"/>
    </xf>
    <xf numFmtId="0" fontId="16" fillId="4" borderId="22" xfId="0" applyFont="1" applyFill="1" applyBorder="1" applyAlignment="1">
      <alignment horizontal="center" vertical="center" wrapText="1"/>
    </xf>
    <xf numFmtId="0" fontId="1" fillId="5" borderId="0" xfId="0" applyFont="1" applyFill="1" applyAlignment="1">
      <alignment horizontal="center" vertical="center" textRotation="90"/>
    </xf>
    <xf numFmtId="0" fontId="1" fillId="5" borderId="0" xfId="0" applyFont="1" applyFill="1" applyAlignment="1">
      <alignment vertical="center" wrapText="1"/>
    </xf>
    <xf numFmtId="0" fontId="1" fillId="5" borderId="0" xfId="0" applyFont="1" applyFill="1" applyAlignment="1">
      <alignment horizontal="center" vertical="center" wrapText="1"/>
    </xf>
    <xf numFmtId="0" fontId="1" fillId="5" borderId="0" xfId="0" applyFont="1" applyFill="1" applyAlignment="1">
      <alignment horizontal="left" vertical="center" wrapText="1"/>
    </xf>
    <xf numFmtId="0" fontId="17" fillId="0" borderId="0" xfId="0" applyFont="1" applyAlignment="1">
      <alignment horizontal="right"/>
    </xf>
    <xf numFmtId="0" fontId="0" fillId="4" borderId="5" xfId="0" applyFill="1" applyBorder="1"/>
    <xf numFmtId="0" fontId="15" fillId="4" borderId="6" xfId="0" applyFont="1" applyFill="1" applyBorder="1" applyAlignment="1">
      <alignment horizontal="left"/>
    </xf>
    <xf numFmtId="0" fontId="0" fillId="4" borderId="7" xfId="0" applyFill="1" applyBorder="1"/>
    <xf numFmtId="0" fontId="0" fillId="4" borderId="8" xfId="0" applyFill="1" applyBorder="1"/>
    <xf numFmtId="0" fontId="0" fillId="4" borderId="9" xfId="0" applyFill="1" applyBorder="1"/>
    <xf numFmtId="0" fontId="0" fillId="4" borderId="11" xfId="0" applyFill="1" applyBorder="1"/>
    <xf numFmtId="0" fontId="17" fillId="4" borderId="12" xfId="0" applyFont="1" applyFill="1" applyBorder="1" applyAlignment="1">
      <alignment horizontal="right"/>
    </xf>
    <xf numFmtId="0" fontId="0" fillId="4" borderId="12" xfId="0" applyFill="1" applyBorder="1"/>
    <xf numFmtId="0" fontId="15" fillId="4" borderId="12" xfId="0" applyFont="1" applyFill="1" applyBorder="1" applyAlignment="1">
      <alignment horizontal="left"/>
    </xf>
    <xf numFmtId="0" fontId="0" fillId="4" borderId="13" xfId="0" applyFill="1" applyBorder="1"/>
    <xf numFmtId="0" fontId="0" fillId="0" borderId="0" xfId="0" applyAlignment="1">
      <alignment horizontal="left"/>
    </xf>
    <xf numFmtId="0" fontId="21" fillId="0" borderId="0" xfId="0" applyFont="1"/>
    <xf numFmtId="0" fontId="16" fillId="4" borderId="0" xfId="0" applyFont="1" applyFill="1" applyAlignment="1">
      <alignment horizontal="center" vertical="center"/>
    </xf>
    <xf numFmtId="0" fontId="23" fillId="4" borderId="0" xfId="0" applyFont="1" applyFill="1" applyAlignment="1">
      <alignment horizontal="center" vertical="center"/>
    </xf>
    <xf numFmtId="0" fontId="24" fillId="4" borderId="0" xfId="0" applyFont="1" applyFill="1" applyAlignment="1">
      <alignment horizontal="center" vertical="center"/>
    </xf>
    <xf numFmtId="0" fontId="19" fillId="4" borderId="1" xfId="0" applyFont="1" applyFill="1" applyBorder="1" applyAlignment="1" applyProtection="1">
      <alignment horizontal="left"/>
      <protection locked="0"/>
    </xf>
    <xf numFmtId="0" fontId="19" fillId="4" borderId="0" xfId="0" applyFont="1" applyFill="1" applyAlignment="1" applyProtection="1">
      <alignment horizontal="left"/>
      <protection locked="0"/>
    </xf>
    <xf numFmtId="0" fontId="19" fillId="4" borderId="0" xfId="0" applyFont="1" applyFill="1" applyAlignment="1" applyProtection="1">
      <alignment horizontal="right"/>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0" fillId="0" borderId="0" xfId="0" applyAlignment="1">
      <alignment horizontal="left" wrapText="1"/>
    </xf>
    <xf numFmtId="0" fontId="15" fillId="3" borderId="0" xfId="0" applyFont="1" applyFill="1" applyAlignment="1">
      <alignment horizontal="center"/>
    </xf>
    <xf numFmtId="0" fontId="18" fillId="6" borderId="31" xfId="0" applyFont="1" applyFill="1" applyBorder="1" applyAlignment="1">
      <alignment horizontal="left"/>
    </xf>
    <xf numFmtId="0" fontId="18" fillId="6" borderId="32" xfId="0" applyFont="1" applyFill="1" applyBorder="1" applyAlignment="1">
      <alignment horizontal="left"/>
    </xf>
    <xf numFmtId="0" fontId="18" fillId="6" borderId="33" xfId="0" applyFont="1" applyFill="1" applyBorder="1" applyAlignment="1">
      <alignment horizontal="left"/>
    </xf>
    <xf numFmtId="0" fontId="21" fillId="0" borderId="6" xfId="0" applyFont="1" applyBorder="1" applyAlignment="1">
      <alignment horizontal="left" wrapText="1"/>
    </xf>
    <xf numFmtId="0" fontId="0" fillId="0" borderId="6" xfId="0" applyBorder="1" applyAlignment="1">
      <alignment horizontal="left" wrapText="1"/>
    </xf>
    <xf numFmtId="0" fontId="4" fillId="2" borderId="28" xfId="90" applyBorder="1" applyAlignment="1">
      <alignment horizontal="left" vertical="center" wrapText="1"/>
    </xf>
    <xf numFmtId="0" fontId="4" fillId="2" borderId="29" xfId="90" applyBorder="1" applyAlignment="1">
      <alignment horizontal="left" vertical="center" wrapText="1"/>
    </xf>
    <xf numFmtId="0" fontId="4" fillId="2" borderId="30" xfId="90" applyBorder="1" applyAlignment="1">
      <alignment horizontal="left" vertical="center" wrapText="1"/>
    </xf>
    <xf numFmtId="0" fontId="13" fillId="3" borderId="0" xfId="0" applyFont="1" applyFill="1" applyAlignment="1">
      <alignment horizontal="left"/>
    </xf>
    <xf numFmtId="0" fontId="9" fillId="0" borderId="0" xfId="0" applyFont="1" applyAlignment="1">
      <alignment horizontal="left"/>
    </xf>
    <xf numFmtId="0" fontId="7" fillId="0" borderId="0" xfId="0" applyFont="1" applyAlignment="1">
      <alignment horizontal="left"/>
    </xf>
    <xf numFmtId="0" fontId="4" fillId="2" borderId="14" xfId="90" applyBorder="1" applyAlignment="1">
      <alignment horizontal="left" vertical="center" wrapText="1"/>
    </xf>
    <xf numFmtId="0" fontId="4" fillId="2" borderId="15" xfId="90" applyBorder="1" applyAlignment="1">
      <alignment horizontal="left" vertical="center" wrapText="1"/>
    </xf>
    <xf numFmtId="0" fontId="4" fillId="2" borderId="16" xfId="90" applyBorder="1" applyAlignment="1">
      <alignment horizontal="left" vertical="center" wrapText="1"/>
    </xf>
    <xf numFmtId="0" fontId="20" fillId="4" borderId="1" xfId="0" applyFont="1" applyFill="1" applyBorder="1" applyAlignment="1" applyProtection="1">
      <alignment horizontal="center"/>
      <protection locked="0"/>
    </xf>
    <xf numFmtId="0" fontId="22" fillId="4" borderId="1" xfId="0" applyFont="1" applyFill="1" applyBorder="1" applyAlignment="1" applyProtection="1">
      <alignment horizontal="center"/>
      <protection locked="0"/>
    </xf>
    <xf numFmtId="0" fontId="26" fillId="0" borderId="34" xfId="0" applyFont="1" applyBorder="1" applyAlignment="1" applyProtection="1">
      <alignment horizontal="left" vertical="center" wrapText="1"/>
      <protection locked="0"/>
    </xf>
  </cellXfs>
  <cellStyles count="91">
    <cellStyle name="40% - Énfasis3" xfId="90" builtinId="39"/>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1" builtinId="8" hidden="1"/>
    <cellStyle name="Hipervínculo" xfId="43" builtinId="8" hidden="1"/>
    <cellStyle name="Hipervínculo" xfId="45" builtinId="8" hidden="1"/>
    <cellStyle name="Hipervínculo" xfId="47" builtinId="8" hidden="1"/>
    <cellStyle name="Hipervínculo" xfId="50" builtinId="8" hidden="1"/>
    <cellStyle name="Hipervínculo" xfId="52" builtinId="8" hidden="1"/>
    <cellStyle name="Hipervínculo" xfId="54" builtinId="8" hidden="1"/>
    <cellStyle name="Hipervínculo" xfId="56" builtinId="8" hidden="1"/>
    <cellStyle name="Hipervínculo" xfId="58" builtinId="8" hidden="1"/>
    <cellStyle name="Hipervínculo" xfId="60" builtinId="8" hidden="1"/>
    <cellStyle name="Hipervínculo" xfId="62" builtinId="8" hidden="1"/>
    <cellStyle name="Hipervínculo" xfId="64" builtinId="8" hidden="1"/>
    <cellStyle name="Hipervínculo" xfId="66" builtinId="8" hidden="1"/>
    <cellStyle name="Hipervínculo" xfId="68" builtinId="8" hidden="1"/>
    <cellStyle name="Hipervínculo" xfId="70" builtinId="8" hidden="1"/>
    <cellStyle name="Hipervínculo" xfId="72" builtinId="8" hidden="1"/>
    <cellStyle name="Hipervínculo" xfId="74" builtinId="8" hidden="1"/>
    <cellStyle name="Hipervínculo" xfId="76" builtinId="8" hidden="1"/>
    <cellStyle name="Hipervínculo" xfId="78" builtinId="8" hidden="1"/>
    <cellStyle name="Hipervínculo" xfId="80" builtinId="8" hidden="1"/>
    <cellStyle name="Hipervínculo" xfId="82" builtinId="8" hidden="1"/>
    <cellStyle name="Hipervínculo" xfId="84" builtinId="8" hidden="1"/>
    <cellStyle name="Hipervínculo" xfId="86" builtinId="8" hidden="1"/>
    <cellStyle name="Hipervínculo" xfId="88" builtinId="8" hidden="1"/>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1" builtinId="9" hidden="1"/>
    <cellStyle name="Hipervínculo visitado" xfId="53" builtinId="9" hidden="1"/>
    <cellStyle name="Hipervínculo visitado" xfId="55" builtinId="9" hidden="1"/>
    <cellStyle name="Hipervínculo visitado" xfId="57" builtinId="9" hidden="1"/>
    <cellStyle name="Hipervínculo visitado" xfId="59" builtinId="9" hidden="1"/>
    <cellStyle name="Hipervínculo visitado" xfId="61" builtinId="9" hidden="1"/>
    <cellStyle name="Hipervínculo visitado" xfId="63" builtinId="9" hidden="1"/>
    <cellStyle name="Hipervínculo visitado" xfId="65" builtinId="9"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Normal" xfId="0" builtinId="0"/>
    <cellStyle name="Porcentaje" xfId="49" builtinId="5"/>
  </cellStyles>
  <dxfs count="83">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color auto="1"/>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color auto="1"/>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color auto="1"/>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color auto="1"/>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color auto="1"/>
      </font>
      <alignment horizontal="general" vertical="center" textRotation="0" wrapText="1" indent="0" justifyLastLine="0" shrinkToFit="0" readingOrder="0"/>
    </dxf>
    <dxf>
      <alignment horizontal="general" vertical="center" textRotation="0" wrapText="1" indent="0" justifyLastLine="0" shrinkToFit="0" readingOrder="0"/>
    </dxf>
    <dxf>
      <border outline="0">
        <bottom style="thin">
          <color theme="6" tint="-0.499984740745262"/>
        </bottom>
      </border>
    </dxf>
    <dxf>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right"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color auto="1"/>
        <name val="Calibri"/>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color auto="1"/>
        <name val="Calibri"/>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color auto="1"/>
        <name val="Calibri"/>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color auto="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color auto="1"/>
        <name val="Calibri"/>
        <scheme val="minor"/>
      </font>
      <alignment horizontal="general" vertical="center" textRotation="0" wrapText="0" indent="0" justifyLastLine="0" shrinkToFit="0" readingOrder="0"/>
    </dxf>
    <dxf>
      <font>
        <strike val="0"/>
        <outline val="0"/>
        <shadow val="0"/>
        <u val="none"/>
        <vertAlign val="baseline"/>
        <color auto="1"/>
        <name val="Calibri"/>
        <scheme val="minor"/>
      </font>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font>
        <color auto="1"/>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34636</xdr:colOff>
      <xdr:row>11</xdr:row>
      <xdr:rowOff>51956</xdr:rowOff>
    </xdr:from>
    <xdr:to>
      <xdr:col>5</xdr:col>
      <xdr:colOff>387927</xdr:colOff>
      <xdr:row>44</xdr:row>
      <xdr:rowOff>51956</xdr:rowOff>
    </xdr:to>
    <xdr:pic>
      <xdr:nvPicPr>
        <xdr:cNvPr id="2" name="1 Image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36" y="2071256"/>
          <a:ext cx="5592041" cy="670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17319</xdr:colOff>
      <xdr:row>47</xdr:row>
      <xdr:rowOff>138546</xdr:rowOff>
    </xdr:from>
    <xdr:to>
      <xdr:col>6</xdr:col>
      <xdr:colOff>34637</xdr:colOff>
      <xdr:row>71</xdr:row>
      <xdr:rowOff>69273</xdr:rowOff>
    </xdr:to>
    <xdr:pic>
      <xdr:nvPicPr>
        <xdr:cNvPr id="3" name="2 Imagen">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0669" y="9434946"/>
          <a:ext cx="5579918" cy="4502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69273</xdr:colOff>
      <xdr:row>71</xdr:row>
      <xdr:rowOff>155862</xdr:rowOff>
    </xdr:from>
    <xdr:to>
      <xdr:col>5</xdr:col>
      <xdr:colOff>346364</xdr:colOff>
      <xdr:row>90</xdr:row>
      <xdr:rowOff>22512</xdr:rowOff>
    </xdr:to>
    <xdr:pic>
      <xdr:nvPicPr>
        <xdr:cNvPr id="4" name="3 Imagen">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273" y="14024262"/>
          <a:ext cx="5515841" cy="3486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xdr:row>
      <xdr:rowOff>173182</xdr:rowOff>
    </xdr:from>
    <xdr:to>
      <xdr:col>5</xdr:col>
      <xdr:colOff>415636</xdr:colOff>
      <xdr:row>113</xdr:row>
      <xdr:rowOff>173182</xdr:rowOff>
    </xdr:to>
    <xdr:pic>
      <xdr:nvPicPr>
        <xdr:cNvPr id="5" name="4 Imagen">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8232582"/>
          <a:ext cx="5654386"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137" displayName="Table137" ref="A1:J40" totalsRowShown="0">
  <sortState ref="A2:G41">
    <sortCondition ref="A1:A42"/>
  </sortState>
  <tableColumns count="10">
    <tableColumn id="2" xr3:uid="{00000000-0010-0000-0000-000002000000}" name="Familia" dataDxfId="82"/>
    <tableColumn id="3" xr3:uid="{00000000-0010-0000-0000-000003000000}" name="Indicador" dataDxfId="81"/>
    <tableColumn id="4" xr3:uid="{00000000-0010-0000-0000-000004000000}" name="TIPO" dataDxfId="80"/>
    <tableColumn id="5" xr3:uid="{00000000-0010-0000-0000-000005000000}" name="CÓDIGO" dataDxfId="79">
      <calculatedColumnFormula>CONCATENATE(A2,".",B2,".",C2)</calculatedColumnFormula>
    </tableColumn>
    <tableColumn id="6" xr3:uid="{00000000-0010-0000-0000-000006000000}" name="INDICADORES" dataDxfId="78"/>
    <tableColumn id="7" xr3:uid="{00000000-0010-0000-0000-000007000000}" name="Aplica (Si-No)" dataDxfId="77"/>
    <tableColumn id="1" xr3:uid="{00000000-0010-0000-0000-000001000000}" name="NO cumple" dataDxfId="76"/>
    <tableColumn id="8" xr3:uid="{00000000-0010-0000-0000-000008000000}" name="SI cumple" dataDxfId="75"/>
    <tableColumn id="9" xr3:uid="{00000000-0010-0000-0000-000009000000}" name="Observaciones (¿porqué no aplica?)" dataDxfId="74"/>
    <tableColumn id="10" xr3:uid="{00000000-0010-0000-0000-00000A000000}" name="Evidencias de cumplimiento" dataDxfId="73"/>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E43:H52" headerRowCount="0" totalsRowShown="0" dataDxfId="72">
  <tableColumns count="4">
    <tableColumn id="1" xr3:uid="{00000000-0010-0000-0100-000001000000}" name="Column1" headerRowDxfId="71" dataDxfId="70"/>
    <tableColumn id="2" xr3:uid="{00000000-0010-0000-0100-000002000000}" name="Column2" headerRowDxfId="69" dataDxfId="68"/>
    <tableColumn id="3" xr3:uid="{00000000-0010-0000-0100-000003000000}" name="Column3" headerRowDxfId="67" dataDxfId="66"/>
    <tableColumn id="4" xr3:uid="{00000000-0010-0000-0100-000004000000}" name="Column4" headerRowDxfId="65" dataDxfId="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4" displayName="Table24" ref="B11:E20" headerRowCount="0" totalsRowShown="0" headerRowDxfId="63" dataDxfId="62">
  <tableColumns count="4">
    <tableColumn id="1" xr3:uid="{00000000-0010-0000-0200-000001000000}" name="Column1" headerRowDxfId="61" dataDxfId="60"/>
    <tableColumn id="2" xr3:uid="{00000000-0010-0000-0200-000002000000}" name="Column2" headerRowDxfId="59" dataDxfId="58"/>
    <tableColumn id="3" xr3:uid="{00000000-0010-0000-0200-000003000000}" name="Column3" headerRowDxfId="57" dataDxfId="56"/>
    <tableColumn id="4" xr3:uid="{00000000-0010-0000-0200-000004000000}" name="Column4" headerRowDxfId="55" dataDxfId="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3" displayName="Table3" ref="A27:E33" headerRowCount="0" totalsRowShown="0" dataDxfId="53">
  <tableColumns count="5">
    <tableColumn id="1" xr3:uid="{00000000-0010-0000-0300-000001000000}" name="Column1"/>
    <tableColumn id="2" xr3:uid="{00000000-0010-0000-0300-000002000000}" name="Column2" headerRowDxfId="52"/>
    <tableColumn id="3" xr3:uid="{00000000-0010-0000-0300-000003000000}" name="Column3" headerRowDxfId="51" dataDxfId="50"/>
    <tableColumn id="4" xr3:uid="{00000000-0010-0000-0300-000004000000}" name="Column4" headerRowDxfId="49" dataDxfId="48"/>
    <tableColumn id="5" xr3:uid="{00000000-0010-0000-0300-000005000000}" name="Column5" headerRowDxfId="47" dataDxfId="4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46" displayName="Table246" ref="B40:E49" headerRowCount="0" totalsRowShown="0" dataDxfId="45" tableBorderDxfId="44">
  <tableColumns count="4">
    <tableColumn id="1" xr3:uid="{00000000-0010-0000-0400-000001000000}" name="Column1" headerRowDxfId="43" dataDxfId="42"/>
    <tableColumn id="2" xr3:uid="{00000000-0010-0000-0400-000002000000}" name="Column2" headerRowDxfId="41" dataDxfId="40"/>
    <tableColumn id="3" xr3:uid="{00000000-0010-0000-0400-000003000000}" name="Column3" headerRowDxfId="39" dataDxfId="38"/>
    <tableColumn id="4" xr3:uid="{00000000-0010-0000-0400-000004000000}" name="Column4" headerRowDxfId="37" dataDxfId="3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2469" displayName="Table2469" ref="B68:E77" headerRowCount="0" totalsRowShown="0" dataDxfId="35">
  <tableColumns count="4">
    <tableColumn id="1" xr3:uid="{00000000-0010-0000-0500-000001000000}" name="Column1" headerRowDxfId="34" dataDxfId="33"/>
    <tableColumn id="2" xr3:uid="{00000000-0010-0000-0500-000002000000}" name="Column2" headerRowDxfId="32" dataDxfId="31"/>
    <tableColumn id="3" xr3:uid="{00000000-0010-0000-0500-000003000000}" name="Column3" headerRowDxfId="30" dataDxfId="29"/>
    <tableColumn id="4" xr3:uid="{00000000-0010-0000-0500-000004000000}" name="Column4" headerRowDxfId="28" dataDxfId="2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24610" displayName="Table24610" ref="B82:E91" headerRowCount="0" totalsRowShown="0" dataDxfId="26">
  <tableColumns count="4">
    <tableColumn id="1" xr3:uid="{00000000-0010-0000-0600-000001000000}" name="Column1" headerRowDxfId="25" dataDxfId="24"/>
    <tableColumn id="2" xr3:uid="{00000000-0010-0000-0600-000002000000}" name="Column2" headerRowDxfId="23" dataDxfId="22"/>
    <tableColumn id="3" xr3:uid="{00000000-0010-0000-0600-000003000000}" name="Column3" headerRowDxfId="21" dataDxfId="20"/>
    <tableColumn id="4" xr3:uid="{00000000-0010-0000-0600-000004000000}" name="Column4" headerRowDxfId="19" dataDxfId="1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24611" displayName="Table24611" ref="B96:E105" headerRowCount="0" totalsRowShown="0" dataDxfId="17">
  <tableColumns count="4">
    <tableColumn id="1" xr3:uid="{00000000-0010-0000-0700-000001000000}" name="Column1" headerRowDxfId="16" dataDxfId="15"/>
    <tableColumn id="2" xr3:uid="{00000000-0010-0000-0700-000002000000}" name="Column2" headerRowDxfId="14" dataDxfId="13"/>
    <tableColumn id="3" xr3:uid="{00000000-0010-0000-0700-000003000000}" name="Column3" headerRowDxfId="12" dataDxfId="11"/>
    <tableColumn id="4" xr3:uid="{00000000-0010-0000-0700-000004000000}" name="Column4" headerRowDxfId="10" dataDxfId="9"/>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le2468" displayName="Table2468" ref="B54:E63" headerRowCount="0" totalsRowShown="0" dataDxfId="8">
  <tableColumns count="4">
    <tableColumn id="1" xr3:uid="{00000000-0010-0000-0800-000001000000}" name="Column1" headerRowDxfId="7" dataDxfId="6"/>
    <tableColumn id="2" xr3:uid="{00000000-0010-0000-0800-000002000000}" name="Column2" headerRowDxfId="5" dataDxfId="4"/>
    <tableColumn id="3" xr3:uid="{00000000-0010-0000-0800-000003000000}" name="Column3" headerRowDxfId="3" dataDxfId="2"/>
    <tableColumn id="4" xr3:uid="{00000000-0010-0000-0800-000004000000}" name="Column4" headerRowDxfId="1"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1.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48"/>
  <sheetViews>
    <sheetView topLeftCell="A10" zoomScale="180" zoomScaleNormal="180" zoomScaleSheetLayoutView="190" zoomScalePageLayoutView="55" workbookViewId="0">
      <selection activeCell="H5" sqref="H5"/>
    </sheetView>
  </sheetViews>
  <sheetFormatPr baseColWidth="10" defaultRowHeight="15" x14ac:dyDescent="0.2"/>
  <cols>
    <col min="1" max="1" width="2" customWidth="1"/>
    <col min="2" max="2" width="5.6640625" customWidth="1"/>
    <col min="3" max="3" width="21.5" customWidth="1"/>
    <col min="4" max="5" width="24.6640625" customWidth="1"/>
    <col min="6" max="6" width="6.83203125" customWidth="1"/>
    <col min="7" max="7" width="1.6640625" customWidth="1"/>
  </cols>
  <sheetData>
    <row r="1" spans="2:6" ht="9" customHeight="1" x14ac:dyDescent="0.2">
      <c r="B1" s="6"/>
      <c r="C1" s="6"/>
      <c r="D1" s="6"/>
      <c r="E1" s="6"/>
      <c r="F1" s="6"/>
    </row>
    <row r="2" spans="2:6" ht="21" x14ac:dyDescent="0.25">
      <c r="B2" s="91" t="s">
        <v>53</v>
      </c>
      <c r="C2" s="91"/>
      <c r="D2" s="91"/>
      <c r="E2" s="91"/>
      <c r="F2" s="91"/>
    </row>
    <row r="3" spans="2:6" ht="6.75" customHeight="1" thickBot="1" x14ac:dyDescent="0.3">
      <c r="B3" s="36"/>
      <c r="C3" s="36"/>
      <c r="D3" s="36"/>
      <c r="E3" s="36"/>
      <c r="F3" s="36"/>
    </row>
    <row r="4" spans="2:6" ht="14.25" customHeight="1" thickBot="1" x14ac:dyDescent="0.25">
      <c r="B4" s="92" t="s">
        <v>54</v>
      </c>
      <c r="C4" s="93"/>
      <c r="D4" s="93"/>
      <c r="E4" s="93"/>
      <c r="F4" s="94"/>
    </row>
    <row r="5" spans="2:6" ht="27" customHeight="1" x14ac:dyDescent="0.2">
      <c r="B5" s="95" t="s">
        <v>60</v>
      </c>
      <c r="C5" s="95"/>
      <c r="D5" s="95"/>
      <c r="E5" s="95"/>
      <c r="F5" s="95"/>
    </row>
    <row r="6" spans="2:6" x14ac:dyDescent="0.2">
      <c r="B6" s="81" t="s">
        <v>55</v>
      </c>
      <c r="C6" s="81"/>
      <c r="D6" s="81"/>
      <c r="E6" s="81"/>
      <c r="F6" s="81"/>
    </row>
    <row r="7" spans="2:6" x14ac:dyDescent="0.2">
      <c r="B7" s="81" t="s">
        <v>56</v>
      </c>
      <c r="C7" s="81"/>
      <c r="D7" s="81"/>
      <c r="E7" s="81"/>
      <c r="F7" s="81"/>
    </row>
    <row r="8" spans="2:6" x14ac:dyDescent="0.2">
      <c r="B8" s="81" t="s">
        <v>57</v>
      </c>
      <c r="C8" s="81"/>
      <c r="D8" s="81"/>
      <c r="E8" s="81"/>
      <c r="F8" s="81"/>
    </row>
    <row r="9" spans="2:6" ht="6.75" customHeight="1" thickBot="1" x14ac:dyDescent="0.25"/>
    <row r="10" spans="2:6" ht="14.25" customHeight="1" thickBot="1" x14ac:dyDescent="0.25">
      <c r="B10" s="92" t="s">
        <v>62</v>
      </c>
      <c r="C10" s="93"/>
      <c r="D10" s="93"/>
      <c r="E10" s="93"/>
      <c r="F10" s="94"/>
    </row>
    <row r="11" spans="2:6" x14ac:dyDescent="0.2">
      <c r="B11" s="96" t="s">
        <v>61</v>
      </c>
      <c r="C11" s="96"/>
      <c r="D11" s="96"/>
      <c r="E11" s="96"/>
      <c r="F11" s="96"/>
    </row>
    <row r="15" spans="2:6" s="80" customFormat="1" x14ac:dyDescent="0.2">
      <c r="B15" s="5"/>
      <c r="C15" s="90"/>
      <c r="D15" s="90"/>
      <c r="E15" s="90"/>
      <c r="F15" s="90"/>
    </row>
    <row r="16" spans="2:6" s="80" customFormat="1" x14ac:dyDescent="0.2">
      <c r="B16" s="5"/>
      <c r="C16" s="90"/>
      <c r="D16" s="90"/>
      <c r="E16" s="90"/>
      <c r="F16" s="90"/>
    </row>
    <row r="17" spans="2:6" s="80" customFormat="1" ht="48" customHeight="1" x14ac:dyDescent="0.2">
      <c r="B17" s="5"/>
      <c r="C17" s="90"/>
      <c r="D17" s="90"/>
      <c r="E17" s="90"/>
      <c r="F17" s="90"/>
    </row>
    <row r="18" spans="2:6" x14ac:dyDescent="0.2">
      <c r="B18" s="5"/>
      <c r="C18" s="90"/>
      <c r="D18" s="90"/>
      <c r="E18" s="90"/>
      <c r="F18" s="90"/>
    </row>
    <row r="19" spans="2:6" x14ac:dyDescent="0.2">
      <c r="B19" s="1"/>
    </row>
    <row r="20" spans="2:6" x14ac:dyDescent="0.2">
      <c r="B20" s="1"/>
    </row>
    <row r="21" spans="2:6" x14ac:dyDescent="0.2">
      <c r="B21" s="1"/>
    </row>
    <row r="22" spans="2:6" x14ac:dyDescent="0.2">
      <c r="B22" s="1"/>
    </row>
    <row r="23" spans="2:6" x14ac:dyDescent="0.2">
      <c r="B23" s="1"/>
    </row>
    <row r="24" spans="2:6" x14ac:dyDescent="0.2">
      <c r="B24" s="1"/>
    </row>
    <row r="25" spans="2:6" x14ac:dyDescent="0.2">
      <c r="B25" s="1"/>
    </row>
    <row r="26" spans="2:6" x14ac:dyDescent="0.2">
      <c r="B26" s="1"/>
    </row>
    <row r="27" spans="2:6" x14ac:dyDescent="0.2">
      <c r="B27" s="1"/>
    </row>
    <row r="28" spans="2:6" x14ac:dyDescent="0.2">
      <c r="B28" s="1"/>
    </row>
    <row r="46" spans="2:6" ht="16" thickBot="1" x14ac:dyDescent="0.25"/>
    <row r="47" spans="2:6" ht="14.25" customHeight="1" thickBot="1" x14ac:dyDescent="0.25">
      <c r="B47" s="92" t="s">
        <v>63</v>
      </c>
      <c r="C47" s="93"/>
      <c r="D47" s="93"/>
      <c r="E47" s="93"/>
      <c r="F47" s="94"/>
    </row>
    <row r="48" spans="2:6" x14ac:dyDescent="0.2">
      <c r="B48" s="96"/>
      <c r="C48" s="96"/>
      <c r="D48" s="96"/>
      <c r="E48" s="96"/>
      <c r="F48" s="96"/>
    </row>
  </sheetData>
  <sheetProtection algorithmName="SHA-512" hashValue="T4PAhS82JAQ1dFTVdiFLknmZCNoGbdOJOExnavNt47bPGtPOIUnDc4df+zPtWyl/8p40MKJIDrQLXSB3W8p7WQ==" saltValue="QgsbpfUIWDz7hY9fy+ckAg==" spinCount="100000" sheet="1" objects="1" scenarios="1" selectLockedCells="1" selectUnlockedCells="1"/>
  <mergeCells count="11">
    <mergeCell ref="C16:F16"/>
    <mergeCell ref="C17:F17"/>
    <mergeCell ref="C18:F18"/>
    <mergeCell ref="B47:F47"/>
    <mergeCell ref="B48:F48"/>
    <mergeCell ref="C15:F15"/>
    <mergeCell ref="B2:F2"/>
    <mergeCell ref="B4:F4"/>
    <mergeCell ref="B5:F5"/>
    <mergeCell ref="B10:F10"/>
    <mergeCell ref="B11:F11"/>
  </mergeCells>
  <phoneticPr fontId="25" type="noConversion"/>
  <pageMargins left="0.70866141732283472" right="0.70866141732283472" top="0.74803149606299213" bottom="0.74803149606299213" header="0.31496062992125984" footer="0.31496062992125984"/>
  <pageSetup scale="97" orientation="portrait" verticalDpi="4294967293"/>
  <rowBreaks count="2" manualBreakCount="2">
    <brk id="46" max="16383" man="1"/>
    <brk id="93" max="16383" man="1"/>
  </rowBreaks>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4"/>
  <sheetViews>
    <sheetView tabSelected="1" topLeftCell="D1" zoomScale="96" zoomScaleNormal="96" zoomScaleSheetLayoutView="140" workbookViewId="0">
      <selection activeCell="J40" sqref="J40"/>
    </sheetView>
  </sheetViews>
  <sheetFormatPr baseColWidth="10" defaultColWidth="10.83203125" defaultRowHeight="15" x14ac:dyDescent="0.2"/>
  <cols>
    <col min="1" max="3" width="3.83203125" style="5" hidden="1" customWidth="1"/>
    <col min="4" max="4" width="8.33203125" style="5" bestFit="1" customWidth="1"/>
    <col min="5" max="5" width="82.33203125" style="2" customWidth="1"/>
    <col min="6" max="6" width="7.1640625" style="5" customWidth="1"/>
    <col min="7" max="7" width="8.5" style="5" customWidth="1"/>
    <col min="8" max="8" width="7.83203125" style="5" customWidth="1"/>
    <col min="9" max="9" width="28.5" style="62" bestFit="1" customWidth="1"/>
    <col min="10" max="10" width="37.33203125" style="62" customWidth="1"/>
    <col min="11" max="16384" width="10.83203125" style="1"/>
  </cols>
  <sheetData>
    <row r="1" spans="1:10" s="3" customFormat="1" ht="51" x14ac:dyDescent="0.2">
      <c r="A1" s="4" t="s">
        <v>0</v>
      </c>
      <c r="B1" s="4" t="s">
        <v>1</v>
      </c>
      <c r="C1" s="4" t="s">
        <v>90</v>
      </c>
      <c r="D1" s="65" t="s">
        <v>3</v>
      </c>
      <c r="E1" s="66" t="s">
        <v>13</v>
      </c>
      <c r="F1" s="67" t="s">
        <v>50</v>
      </c>
      <c r="G1" s="67" t="s">
        <v>51</v>
      </c>
      <c r="H1" s="67" t="s">
        <v>52</v>
      </c>
      <c r="I1" s="68" t="s">
        <v>29</v>
      </c>
      <c r="J1" s="68" t="s">
        <v>30</v>
      </c>
    </row>
    <row r="2" spans="1:10" ht="48" x14ac:dyDescent="0.2">
      <c r="A2" s="5">
        <v>1</v>
      </c>
      <c r="B2" s="5">
        <v>1</v>
      </c>
      <c r="C2" s="5" t="s">
        <v>89</v>
      </c>
      <c r="D2" s="5" t="str">
        <f t="shared" ref="D2:D40" si="0">CONCATENATE(A2,".",B2,".",C2)</f>
        <v>1.1.P</v>
      </c>
      <c r="E2" s="2" t="s">
        <v>71</v>
      </c>
      <c r="F2" s="88" t="s">
        <v>27</v>
      </c>
      <c r="G2" s="88"/>
      <c r="H2" s="88" t="s">
        <v>4</v>
      </c>
      <c r="I2" s="89"/>
      <c r="J2" s="89" t="s">
        <v>99</v>
      </c>
    </row>
    <row r="3" spans="1:10" ht="48" x14ac:dyDescent="0.2">
      <c r="A3" s="5">
        <v>1</v>
      </c>
      <c r="B3" s="5">
        <v>2</v>
      </c>
      <c r="C3" s="5" t="s">
        <v>89</v>
      </c>
      <c r="D3" s="5" t="str">
        <f t="shared" si="0"/>
        <v>1.2.P</v>
      </c>
      <c r="E3" s="2" t="s">
        <v>17</v>
      </c>
      <c r="F3" s="88" t="s">
        <v>27</v>
      </c>
      <c r="G3" s="88"/>
      <c r="H3" s="88" t="s">
        <v>4</v>
      </c>
      <c r="I3" s="89"/>
      <c r="J3" s="89" t="s">
        <v>100</v>
      </c>
    </row>
    <row r="4" spans="1:10" ht="64" x14ac:dyDescent="0.2">
      <c r="A4" s="5">
        <v>1</v>
      </c>
      <c r="B4" s="5">
        <v>3</v>
      </c>
      <c r="C4" s="5" t="s">
        <v>89</v>
      </c>
      <c r="D4" s="5" t="str">
        <f t="shared" si="0"/>
        <v>1.3.P</v>
      </c>
      <c r="E4" s="2" t="s">
        <v>66</v>
      </c>
      <c r="F4" s="88" t="s">
        <v>27</v>
      </c>
      <c r="G4" s="88"/>
      <c r="H4" s="88" t="s">
        <v>4</v>
      </c>
      <c r="I4" s="89"/>
      <c r="J4" s="89" t="s">
        <v>101</v>
      </c>
    </row>
    <row r="5" spans="1:10" ht="64" x14ac:dyDescent="0.2">
      <c r="A5" s="5">
        <v>1</v>
      </c>
      <c r="B5" s="5">
        <v>4</v>
      </c>
      <c r="C5" s="5" t="s">
        <v>89</v>
      </c>
      <c r="D5" s="5" t="str">
        <f t="shared" si="0"/>
        <v>1.4.P</v>
      </c>
      <c r="E5" s="2" t="s">
        <v>72</v>
      </c>
      <c r="F5" s="88" t="s">
        <v>27</v>
      </c>
      <c r="G5" s="88"/>
      <c r="H5" s="88" t="s">
        <v>4</v>
      </c>
      <c r="I5" s="89"/>
      <c r="J5" s="89" t="s">
        <v>102</v>
      </c>
    </row>
    <row r="6" spans="1:10" ht="48" x14ac:dyDescent="0.2">
      <c r="A6" s="5">
        <v>1</v>
      </c>
      <c r="B6" s="5">
        <v>5</v>
      </c>
      <c r="C6" s="5" t="s">
        <v>91</v>
      </c>
      <c r="D6" s="5" t="str">
        <f t="shared" si="0"/>
        <v>1.5.C</v>
      </c>
      <c r="E6" s="2" t="s">
        <v>18</v>
      </c>
      <c r="F6" s="88" t="s">
        <v>27</v>
      </c>
      <c r="G6" s="88"/>
      <c r="H6" s="88" t="s">
        <v>4</v>
      </c>
      <c r="I6" s="89"/>
      <c r="J6" s="89" t="s">
        <v>103</v>
      </c>
    </row>
    <row r="7" spans="1:10" ht="48" x14ac:dyDescent="0.2">
      <c r="A7" s="5">
        <v>1</v>
      </c>
      <c r="B7" s="5">
        <v>6</v>
      </c>
      <c r="C7" s="5" t="s">
        <v>91</v>
      </c>
      <c r="D7" s="5" t="str">
        <f t="shared" si="0"/>
        <v>1.6.C</v>
      </c>
      <c r="E7" s="2" t="s">
        <v>73</v>
      </c>
      <c r="F7" s="88" t="s">
        <v>27</v>
      </c>
      <c r="G7" s="88"/>
      <c r="H7" s="88" t="s">
        <v>4</v>
      </c>
      <c r="I7" s="89"/>
      <c r="J7" s="89" t="s">
        <v>104</v>
      </c>
    </row>
    <row r="8" spans="1:10" ht="48" x14ac:dyDescent="0.2">
      <c r="A8" s="5">
        <v>1</v>
      </c>
      <c r="B8" s="5">
        <v>7</v>
      </c>
      <c r="C8" s="5" t="s">
        <v>89</v>
      </c>
      <c r="D8" s="5" t="str">
        <f t="shared" si="0"/>
        <v>1.7.P</v>
      </c>
      <c r="E8" s="2" t="s">
        <v>19</v>
      </c>
      <c r="F8" s="88" t="s">
        <v>27</v>
      </c>
      <c r="G8" s="88"/>
      <c r="H8" s="88" t="s">
        <v>4</v>
      </c>
      <c r="I8" s="89"/>
      <c r="J8" s="89" t="s">
        <v>105</v>
      </c>
    </row>
    <row r="9" spans="1:10" ht="48" x14ac:dyDescent="0.2">
      <c r="A9" s="5">
        <v>2</v>
      </c>
      <c r="B9" s="5">
        <v>1</v>
      </c>
      <c r="C9" s="5" t="s">
        <v>89</v>
      </c>
      <c r="D9" s="5" t="str">
        <f t="shared" si="0"/>
        <v>2.1.P</v>
      </c>
      <c r="E9" s="2" t="s">
        <v>74</v>
      </c>
      <c r="F9" s="88" t="s">
        <v>27</v>
      </c>
      <c r="G9" s="88"/>
      <c r="H9" s="88" t="s">
        <v>4</v>
      </c>
      <c r="I9" s="89"/>
      <c r="J9" s="89" t="s">
        <v>106</v>
      </c>
    </row>
    <row r="10" spans="1:10" ht="48" x14ac:dyDescent="0.2">
      <c r="A10" s="5">
        <v>2</v>
      </c>
      <c r="B10" s="5">
        <v>2</v>
      </c>
      <c r="C10" s="5" t="s">
        <v>91</v>
      </c>
      <c r="D10" s="5" t="str">
        <f t="shared" si="0"/>
        <v>2.2.C</v>
      </c>
      <c r="E10" s="2" t="s">
        <v>20</v>
      </c>
      <c r="F10" s="88" t="s">
        <v>27</v>
      </c>
      <c r="G10" s="88"/>
      <c r="H10" s="88" t="s">
        <v>4</v>
      </c>
      <c r="I10" s="89"/>
      <c r="J10" s="89" t="s">
        <v>107</v>
      </c>
    </row>
    <row r="11" spans="1:10" ht="32" x14ac:dyDescent="0.2">
      <c r="A11" s="5">
        <v>2</v>
      </c>
      <c r="B11" s="5">
        <v>3</v>
      </c>
      <c r="C11" s="5" t="s">
        <v>91</v>
      </c>
      <c r="D11" s="5" t="str">
        <f t="shared" si="0"/>
        <v>2.3.C</v>
      </c>
      <c r="E11" s="2" t="s">
        <v>16</v>
      </c>
      <c r="F11" s="88" t="s">
        <v>27</v>
      </c>
      <c r="G11" s="88"/>
      <c r="H11" s="88" t="s">
        <v>4</v>
      </c>
      <c r="I11" s="89"/>
      <c r="J11" s="89" t="s">
        <v>108</v>
      </c>
    </row>
    <row r="12" spans="1:10" ht="48" x14ac:dyDescent="0.2">
      <c r="A12" s="5">
        <v>2</v>
      </c>
      <c r="B12" s="5">
        <v>4</v>
      </c>
      <c r="C12" s="5" t="s">
        <v>91</v>
      </c>
      <c r="D12" s="5" t="str">
        <f t="shared" si="0"/>
        <v>2.4.C</v>
      </c>
      <c r="E12" s="2" t="s">
        <v>5</v>
      </c>
      <c r="F12" s="88" t="s">
        <v>27</v>
      </c>
      <c r="G12" s="88"/>
      <c r="H12" s="88" t="s">
        <v>4</v>
      </c>
      <c r="I12" s="89"/>
      <c r="J12" s="89" t="s">
        <v>109</v>
      </c>
    </row>
    <row r="13" spans="1:10" ht="48" x14ac:dyDescent="0.2">
      <c r="A13" s="5">
        <v>2</v>
      </c>
      <c r="B13" s="5">
        <v>5</v>
      </c>
      <c r="C13" s="5" t="s">
        <v>91</v>
      </c>
      <c r="D13" s="5" t="str">
        <f t="shared" si="0"/>
        <v>2.5.C</v>
      </c>
      <c r="E13" s="2" t="s">
        <v>23</v>
      </c>
      <c r="F13" s="88" t="s">
        <v>27</v>
      </c>
      <c r="G13" s="88"/>
      <c r="H13" s="88" t="s">
        <v>4</v>
      </c>
      <c r="I13" s="89"/>
      <c r="J13" s="89" t="s">
        <v>110</v>
      </c>
    </row>
    <row r="14" spans="1:10" ht="32" x14ac:dyDescent="0.2">
      <c r="A14" s="5">
        <v>2</v>
      </c>
      <c r="B14" s="5">
        <v>6</v>
      </c>
      <c r="C14" s="5" t="s">
        <v>91</v>
      </c>
      <c r="D14" s="5" t="str">
        <f t="shared" si="0"/>
        <v>2.6.C</v>
      </c>
      <c r="E14" s="2" t="s">
        <v>6</v>
      </c>
      <c r="F14" s="88" t="s">
        <v>27</v>
      </c>
      <c r="G14" s="88"/>
      <c r="H14" s="88" t="s">
        <v>4</v>
      </c>
      <c r="I14" s="89"/>
      <c r="J14" s="89" t="s">
        <v>111</v>
      </c>
    </row>
    <row r="15" spans="1:10" ht="64" x14ac:dyDescent="0.2">
      <c r="A15" s="5">
        <v>2</v>
      </c>
      <c r="B15" s="5">
        <v>7</v>
      </c>
      <c r="C15" s="5" t="s">
        <v>91</v>
      </c>
      <c r="D15" s="5" t="str">
        <f t="shared" si="0"/>
        <v>2.7.C</v>
      </c>
      <c r="E15" s="2" t="s">
        <v>21</v>
      </c>
      <c r="F15" s="88" t="s">
        <v>27</v>
      </c>
      <c r="G15" s="88"/>
      <c r="H15" s="88" t="s">
        <v>4</v>
      </c>
      <c r="I15" s="89"/>
      <c r="J15" s="89" t="s">
        <v>112</v>
      </c>
    </row>
    <row r="16" spans="1:10" ht="64" x14ac:dyDescent="0.2">
      <c r="A16" s="5">
        <v>2</v>
      </c>
      <c r="B16" s="5">
        <v>8</v>
      </c>
      <c r="C16" s="5" t="s">
        <v>91</v>
      </c>
      <c r="D16" s="5" t="str">
        <f t="shared" si="0"/>
        <v>2.8.C</v>
      </c>
      <c r="E16" s="2" t="s">
        <v>7</v>
      </c>
      <c r="F16" s="88" t="s">
        <v>27</v>
      </c>
      <c r="G16" s="88"/>
      <c r="H16" s="88" t="s">
        <v>4</v>
      </c>
      <c r="I16" s="89"/>
      <c r="J16" s="89" t="s">
        <v>113</v>
      </c>
    </row>
    <row r="17" spans="1:10" ht="32" x14ac:dyDescent="0.2">
      <c r="A17" s="5">
        <v>2</v>
      </c>
      <c r="B17" s="5">
        <v>9</v>
      </c>
      <c r="C17" s="5" t="s">
        <v>89</v>
      </c>
      <c r="D17" s="5" t="str">
        <f t="shared" si="0"/>
        <v>2.9.P</v>
      </c>
      <c r="E17" s="2" t="s">
        <v>65</v>
      </c>
      <c r="F17" s="88" t="s">
        <v>27</v>
      </c>
      <c r="G17" s="88"/>
      <c r="H17" s="88" t="s">
        <v>4</v>
      </c>
      <c r="I17" s="89"/>
      <c r="J17" s="89" t="s">
        <v>114</v>
      </c>
    </row>
    <row r="18" spans="1:10" ht="64" x14ac:dyDescent="0.2">
      <c r="A18" s="5">
        <v>3</v>
      </c>
      <c r="B18" s="5">
        <v>1</v>
      </c>
      <c r="C18" s="5" t="s">
        <v>89</v>
      </c>
      <c r="D18" s="5" t="str">
        <f t="shared" si="0"/>
        <v>3.1.P</v>
      </c>
      <c r="E18" s="2" t="s">
        <v>75</v>
      </c>
      <c r="F18" s="88" t="s">
        <v>27</v>
      </c>
      <c r="G18" s="88"/>
      <c r="H18" s="88" t="s">
        <v>4</v>
      </c>
      <c r="I18" s="89"/>
      <c r="J18" s="89" t="s">
        <v>115</v>
      </c>
    </row>
    <row r="19" spans="1:10" ht="16" x14ac:dyDescent="0.2">
      <c r="A19" s="5">
        <v>3</v>
      </c>
      <c r="B19" s="5">
        <v>2</v>
      </c>
      <c r="C19" s="5" t="s">
        <v>89</v>
      </c>
      <c r="D19" s="5" t="str">
        <f t="shared" si="0"/>
        <v>3.2.P</v>
      </c>
      <c r="E19" s="2" t="s">
        <v>76</v>
      </c>
      <c r="F19" s="88" t="s">
        <v>95</v>
      </c>
      <c r="G19" s="88"/>
      <c r="H19" s="88"/>
      <c r="I19" s="89" t="s">
        <v>98</v>
      </c>
      <c r="J19" s="89" t="s">
        <v>120</v>
      </c>
    </row>
    <row r="20" spans="1:10" ht="16" x14ac:dyDescent="0.2">
      <c r="A20" s="5">
        <v>3</v>
      </c>
      <c r="B20" s="5">
        <v>3</v>
      </c>
      <c r="C20" s="5" t="s">
        <v>89</v>
      </c>
      <c r="D20" s="5" t="str">
        <f t="shared" si="0"/>
        <v>3.3.P</v>
      </c>
      <c r="E20" s="2" t="s">
        <v>22</v>
      </c>
      <c r="F20" s="88" t="s">
        <v>95</v>
      </c>
      <c r="G20" s="88"/>
      <c r="H20" s="88"/>
      <c r="I20" s="89" t="s">
        <v>98</v>
      </c>
      <c r="J20" s="108" t="s">
        <v>120</v>
      </c>
    </row>
    <row r="21" spans="1:10" ht="32" x14ac:dyDescent="0.2">
      <c r="A21" s="5">
        <v>3</v>
      </c>
      <c r="B21" s="5">
        <v>4</v>
      </c>
      <c r="C21" s="5" t="s">
        <v>91</v>
      </c>
      <c r="D21" s="5" t="str">
        <f t="shared" si="0"/>
        <v>3.4.C</v>
      </c>
      <c r="E21" s="2" t="s">
        <v>92</v>
      </c>
      <c r="F21" s="88" t="s">
        <v>95</v>
      </c>
      <c r="G21" s="88"/>
      <c r="H21" s="88"/>
      <c r="I21" s="89" t="s">
        <v>98</v>
      </c>
      <c r="J21" s="89" t="s">
        <v>120</v>
      </c>
    </row>
    <row r="22" spans="1:10" ht="48" x14ac:dyDescent="0.2">
      <c r="A22" s="5">
        <v>3</v>
      </c>
      <c r="B22" s="5">
        <v>5</v>
      </c>
      <c r="C22" s="5" t="s">
        <v>89</v>
      </c>
      <c r="D22" s="5" t="str">
        <f t="shared" si="0"/>
        <v>3.5.P</v>
      </c>
      <c r="E22" s="2" t="s">
        <v>77</v>
      </c>
      <c r="F22" s="88" t="s">
        <v>27</v>
      </c>
      <c r="G22" s="88"/>
      <c r="H22" s="88" t="s">
        <v>4</v>
      </c>
      <c r="I22" s="89"/>
      <c r="J22" s="89" t="s">
        <v>116</v>
      </c>
    </row>
    <row r="23" spans="1:10" ht="48" x14ac:dyDescent="0.2">
      <c r="A23" s="5">
        <v>3</v>
      </c>
      <c r="B23" s="5">
        <v>6</v>
      </c>
      <c r="C23" s="5" t="s">
        <v>89</v>
      </c>
      <c r="D23" s="5" t="str">
        <f t="shared" si="0"/>
        <v>3.6.P</v>
      </c>
      <c r="E23" s="2" t="s">
        <v>78</v>
      </c>
      <c r="F23" s="88" t="s">
        <v>27</v>
      </c>
      <c r="G23" s="88"/>
      <c r="H23" s="88" t="s">
        <v>4</v>
      </c>
      <c r="I23" s="89"/>
      <c r="J23" s="89" t="s">
        <v>117</v>
      </c>
    </row>
    <row r="24" spans="1:10" ht="80" x14ac:dyDescent="0.2">
      <c r="A24" s="5">
        <v>3</v>
      </c>
      <c r="B24" s="5">
        <v>7</v>
      </c>
      <c r="C24" s="5" t="s">
        <v>89</v>
      </c>
      <c r="D24" s="5" t="str">
        <f t="shared" si="0"/>
        <v>3.7.P</v>
      </c>
      <c r="E24" s="2" t="s">
        <v>67</v>
      </c>
      <c r="F24" s="88" t="s">
        <v>27</v>
      </c>
      <c r="G24" s="88"/>
      <c r="H24" s="88" t="s">
        <v>4</v>
      </c>
      <c r="I24" s="89"/>
      <c r="J24" s="89" t="s">
        <v>118</v>
      </c>
    </row>
    <row r="25" spans="1:10" ht="64" x14ac:dyDescent="0.2">
      <c r="A25" s="5">
        <v>3</v>
      </c>
      <c r="B25" s="5">
        <v>8</v>
      </c>
      <c r="C25" s="5" t="s">
        <v>89</v>
      </c>
      <c r="D25" s="5" t="str">
        <f t="shared" si="0"/>
        <v>3.8.P</v>
      </c>
      <c r="E25" s="2" t="s">
        <v>68</v>
      </c>
      <c r="F25" s="88" t="s">
        <v>27</v>
      </c>
      <c r="G25" s="88"/>
      <c r="H25" s="88" t="s">
        <v>4</v>
      </c>
      <c r="I25" s="89"/>
      <c r="J25" s="89" t="s">
        <v>119</v>
      </c>
    </row>
    <row r="26" spans="1:10" ht="48" x14ac:dyDescent="0.2">
      <c r="A26" s="5">
        <v>4</v>
      </c>
      <c r="B26" s="5">
        <v>1</v>
      </c>
      <c r="C26" s="5" t="s">
        <v>91</v>
      </c>
      <c r="D26" s="5" t="str">
        <f>CONCATENATE(A26,".",B26,".",C26)</f>
        <v>4.1.C</v>
      </c>
      <c r="E26" s="2" t="s">
        <v>79</v>
      </c>
      <c r="F26" s="88" t="s">
        <v>27</v>
      </c>
      <c r="G26" s="88"/>
      <c r="H26" s="88" t="s">
        <v>4</v>
      </c>
      <c r="I26" s="89"/>
      <c r="J26" s="89" t="s">
        <v>121</v>
      </c>
    </row>
    <row r="27" spans="1:10" ht="32" x14ac:dyDescent="0.2">
      <c r="A27" s="5">
        <v>4</v>
      </c>
      <c r="B27" s="5">
        <v>2</v>
      </c>
      <c r="C27" s="5" t="s">
        <v>91</v>
      </c>
      <c r="D27" s="5" t="str">
        <f t="shared" si="0"/>
        <v>4.2.C</v>
      </c>
      <c r="E27" s="2" t="s">
        <v>8</v>
      </c>
      <c r="F27" s="88" t="s">
        <v>27</v>
      </c>
      <c r="G27" s="88"/>
      <c r="H27" s="88" t="s">
        <v>4</v>
      </c>
      <c r="I27" s="89"/>
      <c r="J27" s="89" t="s">
        <v>122</v>
      </c>
    </row>
    <row r="28" spans="1:10" ht="80" x14ac:dyDescent="0.2">
      <c r="A28" s="5">
        <v>4</v>
      </c>
      <c r="B28" s="5">
        <v>3</v>
      </c>
      <c r="C28" s="5" t="s">
        <v>89</v>
      </c>
      <c r="D28" s="5" t="str">
        <f t="shared" si="0"/>
        <v>4.3.P</v>
      </c>
      <c r="E28" s="2" t="s">
        <v>9</v>
      </c>
      <c r="F28" s="88" t="s">
        <v>27</v>
      </c>
      <c r="G28" s="88"/>
      <c r="H28" s="88" t="s">
        <v>4</v>
      </c>
      <c r="I28" s="89"/>
      <c r="J28" s="89" t="s">
        <v>123</v>
      </c>
    </row>
    <row r="29" spans="1:10" ht="16" x14ac:dyDescent="0.2">
      <c r="A29" s="5">
        <v>4</v>
      </c>
      <c r="B29" s="5">
        <v>4</v>
      </c>
      <c r="C29" s="5" t="s">
        <v>89</v>
      </c>
      <c r="D29" s="5" t="str">
        <f t="shared" si="0"/>
        <v>4.4.P</v>
      </c>
      <c r="E29" s="2" t="s">
        <v>10</v>
      </c>
      <c r="F29" s="88" t="s">
        <v>27</v>
      </c>
      <c r="G29" s="88"/>
      <c r="H29" s="88" t="s">
        <v>4</v>
      </c>
      <c r="I29" s="89"/>
      <c r="J29" s="89" t="s">
        <v>124</v>
      </c>
    </row>
    <row r="30" spans="1:10" ht="64" x14ac:dyDescent="0.2">
      <c r="A30" s="5">
        <v>4</v>
      </c>
      <c r="B30" s="5">
        <v>5</v>
      </c>
      <c r="C30" s="5" t="s">
        <v>91</v>
      </c>
      <c r="D30" s="5" t="str">
        <f t="shared" si="0"/>
        <v>4.5.C</v>
      </c>
      <c r="E30" s="2" t="s">
        <v>11</v>
      </c>
      <c r="F30" s="88" t="s">
        <v>27</v>
      </c>
      <c r="G30" s="88"/>
      <c r="H30" s="88" t="s">
        <v>4</v>
      </c>
      <c r="I30" s="89"/>
      <c r="J30" s="89" t="s">
        <v>125</v>
      </c>
    </row>
    <row r="31" spans="1:10" ht="48" x14ac:dyDescent="0.2">
      <c r="A31" s="5">
        <v>4</v>
      </c>
      <c r="B31" s="5">
        <v>6</v>
      </c>
      <c r="C31" s="5" t="s">
        <v>91</v>
      </c>
      <c r="D31" s="5" t="str">
        <f t="shared" si="0"/>
        <v>4.6.C</v>
      </c>
      <c r="E31" s="2" t="s">
        <v>80</v>
      </c>
      <c r="F31" s="88" t="s">
        <v>27</v>
      </c>
      <c r="G31" s="88"/>
      <c r="H31" s="88" t="s">
        <v>4</v>
      </c>
      <c r="I31" s="89"/>
      <c r="J31" s="89" t="s">
        <v>126</v>
      </c>
    </row>
    <row r="32" spans="1:10" ht="48" x14ac:dyDescent="0.2">
      <c r="A32" s="5">
        <v>4</v>
      </c>
      <c r="B32" s="5">
        <v>7</v>
      </c>
      <c r="C32" s="5" t="s">
        <v>89</v>
      </c>
      <c r="D32" s="5" t="str">
        <f t="shared" si="0"/>
        <v>4.7.P</v>
      </c>
      <c r="E32" s="2" t="s">
        <v>69</v>
      </c>
      <c r="F32" s="88" t="s">
        <v>27</v>
      </c>
      <c r="G32" s="88"/>
      <c r="H32" s="88" t="s">
        <v>4</v>
      </c>
      <c r="I32" s="89"/>
      <c r="J32" s="89" t="s">
        <v>127</v>
      </c>
    </row>
    <row r="33" spans="1:10" ht="80" x14ac:dyDescent="0.2">
      <c r="A33" s="5">
        <v>4</v>
      </c>
      <c r="B33" s="5">
        <v>8</v>
      </c>
      <c r="C33" s="5" t="s">
        <v>89</v>
      </c>
      <c r="D33" s="5" t="str">
        <f t="shared" si="0"/>
        <v>4.8.P</v>
      </c>
      <c r="E33" s="2" t="s">
        <v>70</v>
      </c>
      <c r="F33" s="88" t="s">
        <v>27</v>
      </c>
      <c r="G33" s="88"/>
      <c r="H33" s="88" t="s">
        <v>4</v>
      </c>
      <c r="I33" s="89"/>
      <c r="J33" s="89" t="s">
        <v>128</v>
      </c>
    </row>
    <row r="34" spans="1:10" ht="48" x14ac:dyDescent="0.2">
      <c r="A34" s="5">
        <v>4</v>
      </c>
      <c r="B34" s="5">
        <v>9</v>
      </c>
      <c r="C34" s="5" t="s">
        <v>89</v>
      </c>
      <c r="D34" s="5" t="str">
        <f t="shared" si="0"/>
        <v>4.9.P</v>
      </c>
      <c r="E34" s="2" t="s">
        <v>81</v>
      </c>
      <c r="F34" s="88" t="s">
        <v>27</v>
      </c>
      <c r="G34" s="88"/>
      <c r="H34" s="88" t="s">
        <v>4</v>
      </c>
      <c r="I34" s="89"/>
      <c r="J34" s="89" t="s">
        <v>129</v>
      </c>
    </row>
    <row r="35" spans="1:10" ht="64" x14ac:dyDescent="0.2">
      <c r="A35" s="5">
        <v>4</v>
      </c>
      <c r="B35" s="5">
        <v>10</v>
      </c>
      <c r="C35" s="5" t="s">
        <v>91</v>
      </c>
      <c r="D35" s="5" t="str">
        <f t="shared" si="0"/>
        <v>4.10.C</v>
      </c>
      <c r="E35" s="2" t="s">
        <v>93</v>
      </c>
      <c r="F35" s="88" t="s">
        <v>27</v>
      </c>
      <c r="G35" s="88"/>
      <c r="H35" s="88" t="s">
        <v>4</v>
      </c>
      <c r="I35" s="89"/>
      <c r="J35" s="89" t="s">
        <v>130</v>
      </c>
    </row>
    <row r="36" spans="1:10" ht="32" x14ac:dyDescent="0.2">
      <c r="A36" s="5">
        <v>4</v>
      </c>
      <c r="B36" s="5">
        <v>11</v>
      </c>
      <c r="C36" s="5" t="s">
        <v>89</v>
      </c>
      <c r="D36" s="5" t="str">
        <f t="shared" si="0"/>
        <v>4.11.P</v>
      </c>
      <c r="E36" s="2" t="s">
        <v>82</v>
      </c>
      <c r="F36" s="88" t="s">
        <v>27</v>
      </c>
      <c r="G36" s="88"/>
      <c r="H36" s="88" t="s">
        <v>4</v>
      </c>
      <c r="I36" s="89"/>
      <c r="J36" s="89" t="s">
        <v>131</v>
      </c>
    </row>
    <row r="37" spans="1:10" ht="48" x14ac:dyDescent="0.2">
      <c r="A37" s="5">
        <v>5</v>
      </c>
      <c r="B37" s="5">
        <v>1</v>
      </c>
      <c r="C37" s="5" t="s">
        <v>89</v>
      </c>
      <c r="D37" s="5" t="str">
        <f t="shared" si="0"/>
        <v>5.1.P</v>
      </c>
      <c r="E37" s="2" t="s">
        <v>24</v>
      </c>
      <c r="F37" s="88" t="s">
        <v>27</v>
      </c>
      <c r="G37" s="88"/>
      <c r="H37" s="88" t="s">
        <v>4</v>
      </c>
      <c r="I37" s="89"/>
      <c r="J37" s="89" t="s">
        <v>132</v>
      </c>
    </row>
    <row r="38" spans="1:10" ht="32" x14ac:dyDescent="0.2">
      <c r="A38" s="5">
        <v>5</v>
      </c>
      <c r="B38" s="5">
        <v>2</v>
      </c>
      <c r="C38" s="5" t="s">
        <v>89</v>
      </c>
      <c r="D38" s="5" t="str">
        <f t="shared" si="0"/>
        <v>5.2.P</v>
      </c>
      <c r="E38" s="2" t="s">
        <v>12</v>
      </c>
      <c r="F38" s="88" t="s">
        <v>27</v>
      </c>
      <c r="G38" s="88"/>
      <c r="H38" s="88" t="s">
        <v>4</v>
      </c>
      <c r="I38" s="89"/>
      <c r="J38" s="89" t="s">
        <v>133</v>
      </c>
    </row>
    <row r="39" spans="1:10" ht="48" x14ac:dyDescent="0.2">
      <c r="A39" s="5">
        <v>5</v>
      </c>
      <c r="B39" s="5">
        <v>3</v>
      </c>
      <c r="C39" s="5" t="s">
        <v>89</v>
      </c>
      <c r="D39" s="5" t="str">
        <f t="shared" si="0"/>
        <v>5.3.P</v>
      </c>
      <c r="E39" s="2" t="s">
        <v>25</v>
      </c>
      <c r="F39" s="88" t="s">
        <v>27</v>
      </c>
      <c r="G39" s="88"/>
      <c r="H39" s="88" t="s">
        <v>4</v>
      </c>
      <c r="I39" s="89"/>
      <c r="J39" s="89" t="s">
        <v>134</v>
      </c>
    </row>
    <row r="40" spans="1:10" ht="32" x14ac:dyDescent="0.2">
      <c r="A40" s="5">
        <v>5</v>
      </c>
      <c r="B40" s="5">
        <v>4</v>
      </c>
      <c r="C40" s="5" t="s">
        <v>91</v>
      </c>
      <c r="D40" s="5" t="str">
        <f t="shared" si="0"/>
        <v>5.4.C</v>
      </c>
      <c r="E40" s="2" t="s">
        <v>26</v>
      </c>
      <c r="F40" s="88" t="s">
        <v>27</v>
      </c>
      <c r="G40" s="88"/>
      <c r="H40" s="88" t="s">
        <v>4</v>
      </c>
      <c r="I40" s="89"/>
      <c r="J40" s="89" t="s">
        <v>135</v>
      </c>
    </row>
    <row r="41" spans="1:10" x14ac:dyDescent="0.2">
      <c r="E41"/>
      <c r="F41" s="31"/>
      <c r="G41" s="31"/>
      <c r="H41" s="31"/>
    </row>
    <row r="42" spans="1:10" x14ac:dyDescent="0.2">
      <c r="E42"/>
      <c r="F42" s="31"/>
      <c r="G42" s="31"/>
      <c r="H42" s="31"/>
    </row>
    <row r="43" spans="1:10" ht="30" hidden="1" x14ac:dyDescent="0.2">
      <c r="E43" s="63" t="s">
        <v>49</v>
      </c>
      <c r="F43" s="64" t="s">
        <v>31</v>
      </c>
      <c r="G43" s="64" t="s">
        <v>32</v>
      </c>
      <c r="H43" s="64" t="s">
        <v>33</v>
      </c>
    </row>
    <row r="44" spans="1:10" ht="16" hidden="1" x14ac:dyDescent="0.2">
      <c r="E44" s="52" t="s">
        <v>35</v>
      </c>
      <c r="F44" s="22">
        <f>COUNTIFS(C2:C40,"P", F2:F40, "SI")</f>
        <v>21</v>
      </c>
      <c r="G44" s="22">
        <f>F44*2</f>
        <v>42</v>
      </c>
      <c r="H44" s="53">
        <f>G44/G46</f>
        <v>0.73684210526315785</v>
      </c>
    </row>
    <row r="45" spans="1:10" ht="16" hidden="1" x14ac:dyDescent="0.2">
      <c r="E45" s="52" t="s">
        <v>34</v>
      </c>
      <c r="F45" s="22">
        <f>COUNTIFS(C2:C40,"C", F2:F40,"SI")</f>
        <v>15</v>
      </c>
      <c r="G45" s="22">
        <f>F45*1</f>
        <v>15</v>
      </c>
      <c r="H45" s="53">
        <f>G45/G46</f>
        <v>0.26315789473684209</v>
      </c>
    </row>
    <row r="46" spans="1:10" ht="16" hidden="1" x14ac:dyDescent="0.2">
      <c r="E46" s="54" t="s">
        <v>36</v>
      </c>
      <c r="F46" s="21"/>
      <c r="G46" s="21">
        <f>G44+G45</f>
        <v>57</v>
      </c>
      <c r="H46" s="55"/>
    </row>
    <row r="47" spans="1:10" hidden="1" x14ac:dyDescent="0.2">
      <c r="E47" s="52"/>
      <c r="F47" s="22"/>
      <c r="G47" s="22"/>
      <c r="H47" s="58"/>
    </row>
    <row r="48" spans="1:10" ht="16" hidden="1" x14ac:dyDescent="0.2">
      <c r="E48" s="52" t="s">
        <v>37</v>
      </c>
      <c r="F48" s="22">
        <f>COUNTIFS(C2:C40,"P", F2:F40, "SI", H2:H40, "X")</f>
        <v>21</v>
      </c>
      <c r="G48" s="22">
        <f>F48*2</f>
        <v>42</v>
      </c>
      <c r="H48" s="53">
        <f>G48/G50</f>
        <v>0.73684210526315785</v>
      </c>
    </row>
    <row r="49" spans="5:8" ht="16" hidden="1" x14ac:dyDescent="0.2">
      <c r="E49" s="52" t="s">
        <v>38</v>
      </c>
      <c r="F49" s="22">
        <f>COUNTIFS(C2:C40,"C", F2:F40, "SI", H2:H40, "X")</f>
        <v>15</v>
      </c>
      <c r="G49" s="22">
        <f>F49*1</f>
        <v>15</v>
      </c>
      <c r="H49" s="53">
        <f>G49/G50</f>
        <v>0.26315789473684209</v>
      </c>
    </row>
    <row r="50" spans="5:8" ht="16" hidden="1" x14ac:dyDescent="0.2">
      <c r="E50" s="54" t="s">
        <v>39</v>
      </c>
      <c r="F50" s="25"/>
      <c r="G50" s="21">
        <f>G48+G49</f>
        <v>57</v>
      </c>
      <c r="H50" s="56"/>
    </row>
    <row r="51" spans="5:8" hidden="1" x14ac:dyDescent="0.2">
      <c r="E51" s="52"/>
      <c r="F51" s="22"/>
      <c r="G51" s="22"/>
      <c r="H51" s="58"/>
    </row>
    <row r="52" spans="5:8" ht="19" hidden="1" x14ac:dyDescent="0.2">
      <c r="E52" s="50" t="s">
        <v>28</v>
      </c>
      <c r="F52" s="59"/>
      <c r="G52" s="60">
        <f>G50/G46</f>
        <v>1</v>
      </c>
      <c r="H52" s="51"/>
    </row>
    <row r="53" spans="5:8" hidden="1" x14ac:dyDescent="0.2">
      <c r="E53" s="57"/>
      <c r="H53" s="61"/>
    </row>
    <row r="54" spans="5:8" hidden="1" x14ac:dyDescent="0.2">
      <c r="E54" s="97" t="str">
        <f>IF(G52&lt;0.85, "La organización no cuenta con el puntaje mínimo para obtener este Sello. Favor de ponerse en contacto con un consultor acreditado por SECTUR para solicitar la asesoría necesaria para la obtención del Sello.", "La organización supera el puntaje mínimo por lo que es candidata a obtener éste Sello. Favor de ponerse en contacto con un consultor acreditado por SECTUR para solicitar validación de evidencias.")</f>
        <v>La organización supera el puntaje mínimo por lo que es candidata a obtener éste Sello. Favor de ponerse en contacto con un consultor acreditado por SECTUR para solicitar validación de evidencias.</v>
      </c>
      <c r="F54" s="98"/>
      <c r="G54" s="98"/>
      <c r="H54" s="99"/>
    </row>
  </sheetData>
  <sheetProtection algorithmName="SHA-512" hashValue="VoIj00KotpdlGlkAcBPP9uVwUwBqfmrZaTPQBpw5/Cr6TIQAVrUgNJwTC3/Rk5OJmWUHBhojgPEOaapL14KDEg==" saltValue="d1r7GxgvFnYCzu5nDPDrtQ==" spinCount="100000" sheet="1" objects="1" scenarios="1" selectLockedCells="1"/>
  <mergeCells count="1">
    <mergeCell ref="E54:H54"/>
  </mergeCells>
  <phoneticPr fontId="25" type="noConversion"/>
  <pageMargins left="0.70000000000000007" right="0.70000000000000007" top="0.75000000000000011" bottom="0.75000000000000011" header="0.30000000000000004" footer="0.30000000000000004"/>
  <pageSetup scale="55" orientation="landscape" horizontalDpi="4294967292" verticalDpi="4294967292"/>
  <tableParts count="2">
    <tablePart r:id="rId1"/>
    <tablePart r:id="rId2"/>
  </tablePart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6"/>
  <sheetViews>
    <sheetView view="pageBreakPreview" topLeftCell="B1" zoomScale="136" zoomScaleNormal="150" zoomScaleSheetLayoutView="136" workbookViewId="0">
      <selection activeCell="B5" sqref="B5"/>
    </sheetView>
  </sheetViews>
  <sheetFormatPr baseColWidth="10" defaultRowHeight="15" x14ac:dyDescent="0.2"/>
  <cols>
    <col min="1" max="1" width="1.5" customWidth="1"/>
    <col min="2" max="2" width="61.1640625" customWidth="1"/>
    <col min="3" max="3" width="11.33203125" bestFit="1" customWidth="1"/>
    <col min="4" max="4" width="11.83203125" bestFit="1" customWidth="1"/>
    <col min="5" max="5" width="14.33203125" customWidth="1"/>
    <col min="6" max="6" width="1.5" customWidth="1"/>
  </cols>
  <sheetData>
    <row r="1" spans="1:6" ht="9" customHeight="1" x14ac:dyDescent="0.2">
      <c r="B1" s="6"/>
      <c r="C1" s="6"/>
      <c r="D1" s="6"/>
      <c r="E1" s="6"/>
    </row>
    <row r="2" spans="1:6" ht="21" x14ac:dyDescent="0.25">
      <c r="B2" s="91" t="s">
        <v>94</v>
      </c>
      <c r="C2" s="91"/>
      <c r="D2" s="91"/>
      <c r="E2" s="91"/>
    </row>
    <row r="3" spans="1:6" ht="21.75" customHeight="1" thickBot="1" x14ac:dyDescent="0.3">
      <c r="B3" s="36"/>
      <c r="C3" s="36"/>
      <c r="D3" s="36"/>
      <c r="E3" s="36"/>
    </row>
    <row r="4" spans="1:6" ht="5.25" customHeight="1" x14ac:dyDescent="0.25">
      <c r="A4" s="70"/>
      <c r="B4" s="71"/>
      <c r="C4" s="71"/>
      <c r="D4" s="71"/>
      <c r="E4" s="71"/>
      <c r="F4" s="72"/>
    </row>
    <row r="5" spans="1:6" ht="21" customHeight="1" x14ac:dyDescent="0.2">
      <c r="A5" s="73"/>
      <c r="B5" s="85" t="s">
        <v>136</v>
      </c>
      <c r="C5" s="86" t="s">
        <v>59</v>
      </c>
      <c r="D5" s="107" t="s">
        <v>96</v>
      </c>
      <c r="E5" s="107"/>
      <c r="F5" s="74"/>
    </row>
    <row r="6" spans="1:6" ht="21" customHeight="1" x14ac:dyDescent="0.2">
      <c r="A6" s="73"/>
      <c r="B6" s="87" t="s">
        <v>97</v>
      </c>
      <c r="C6" s="106" t="s">
        <v>137</v>
      </c>
      <c r="D6" s="106"/>
      <c r="E6" s="106"/>
      <c r="F6" s="74"/>
    </row>
    <row r="7" spans="1:6" ht="6" customHeight="1" thickBot="1" x14ac:dyDescent="0.3">
      <c r="A7" s="75"/>
      <c r="B7" s="76"/>
      <c r="C7" s="77"/>
      <c r="D7" s="78"/>
      <c r="E7" s="78"/>
      <c r="F7" s="79"/>
    </row>
    <row r="8" spans="1:6" ht="27.75" customHeight="1" x14ac:dyDescent="0.25">
      <c r="B8" s="69"/>
      <c r="D8" s="36"/>
      <c r="E8" s="36"/>
    </row>
    <row r="9" spans="1:6" ht="20" thickBot="1" x14ac:dyDescent="0.3">
      <c r="B9" s="101" t="s">
        <v>58</v>
      </c>
      <c r="C9" s="101"/>
      <c r="D9" s="101"/>
      <c r="E9" s="101"/>
    </row>
    <row r="10" spans="1:6" ht="6.75" customHeight="1" x14ac:dyDescent="0.2">
      <c r="A10" s="8"/>
      <c r="B10" s="9"/>
      <c r="C10" s="9"/>
      <c r="D10" s="9"/>
      <c r="E10" s="9"/>
      <c r="F10" s="10"/>
    </row>
    <row r="11" spans="1:6" x14ac:dyDescent="0.2">
      <c r="A11" s="11"/>
      <c r="B11" s="19" t="s">
        <v>49</v>
      </c>
      <c r="C11" s="20" t="s">
        <v>31</v>
      </c>
      <c r="D11" s="21" t="s">
        <v>32</v>
      </c>
      <c r="E11" s="21" t="s">
        <v>33</v>
      </c>
      <c r="F11" s="12"/>
    </row>
    <row r="12" spans="1:6" ht="16" x14ac:dyDescent="0.2">
      <c r="A12" s="11"/>
      <c r="B12" s="13" t="s">
        <v>85</v>
      </c>
      <c r="C12" s="22">
        <f>COUNTIFS('Lista de Verificación'!C2:C40,"P",'Lista de Verificación'!F2:F40, "SI")</f>
        <v>21</v>
      </c>
      <c r="D12" s="22">
        <f>C12*2</f>
        <v>42</v>
      </c>
      <c r="E12" s="23">
        <f>D12/D14</f>
        <v>0.73684210526315785</v>
      </c>
      <c r="F12" s="12"/>
    </row>
    <row r="13" spans="1:6" ht="16" x14ac:dyDescent="0.2">
      <c r="A13" s="11"/>
      <c r="B13" s="13" t="s">
        <v>87</v>
      </c>
      <c r="C13" s="22">
        <f>COUNTIFS('Lista de Verificación'!C2:C40,"C",'Lista de Verificación'!F2:F40, "SI")</f>
        <v>15</v>
      </c>
      <c r="D13" s="22">
        <f>C13*1</f>
        <v>15</v>
      </c>
      <c r="E13" s="23">
        <f>D13/D14</f>
        <v>0.26315789473684209</v>
      </c>
      <c r="F13" s="12"/>
    </row>
    <row r="14" spans="1:6" ht="16" x14ac:dyDescent="0.2">
      <c r="A14" s="11"/>
      <c r="B14" s="24" t="s">
        <v>46</v>
      </c>
      <c r="C14" s="21"/>
      <c r="D14" s="21">
        <f>D12+D13</f>
        <v>57</v>
      </c>
      <c r="E14" s="21"/>
      <c r="F14" s="12"/>
    </row>
    <row r="15" spans="1:6" ht="7.5" customHeight="1" x14ac:dyDescent="0.2">
      <c r="A15" s="11"/>
      <c r="B15" s="13"/>
      <c r="C15" s="14"/>
      <c r="D15" s="14"/>
      <c r="E15" s="14"/>
      <c r="F15" s="12"/>
    </row>
    <row r="16" spans="1:6" ht="16" x14ac:dyDescent="0.2">
      <c r="A16" s="11"/>
      <c r="B16" s="13" t="s">
        <v>86</v>
      </c>
      <c r="C16" s="22">
        <f>COUNTIFS('Lista de Verificación'!C2:C40,"P",'Lista de Verificación'!F2:F40, "SI", 'Lista de Verificación'!H2:H40, "X")</f>
        <v>21</v>
      </c>
      <c r="D16" s="22">
        <f>C16*2</f>
        <v>42</v>
      </c>
      <c r="E16" s="23">
        <f>D16/D18</f>
        <v>0.73684210526315785</v>
      </c>
      <c r="F16" s="12"/>
    </row>
    <row r="17" spans="1:6" ht="16" x14ac:dyDescent="0.2">
      <c r="A17" s="11"/>
      <c r="B17" s="13" t="s">
        <v>88</v>
      </c>
      <c r="C17" s="22">
        <f>COUNTIFS('Lista de Verificación'!C2:C40,"C",'Lista de Verificación'!F2:F40, "SI", 'Lista de Verificación'!H2:H40, "X")</f>
        <v>15</v>
      </c>
      <c r="D17" s="22">
        <f>C17*1</f>
        <v>15</v>
      </c>
      <c r="E17" s="23">
        <f>D17/D18</f>
        <v>0.26315789473684209</v>
      </c>
      <c r="F17" s="12"/>
    </row>
    <row r="18" spans="1:6" ht="16" x14ac:dyDescent="0.2">
      <c r="A18" s="11"/>
      <c r="B18" s="24" t="s">
        <v>47</v>
      </c>
      <c r="C18" s="25"/>
      <c r="D18" s="21">
        <f>D16+D17</f>
        <v>57</v>
      </c>
      <c r="E18" s="25"/>
      <c r="F18" s="12"/>
    </row>
    <row r="19" spans="1:6" ht="3.75" customHeight="1" x14ac:dyDescent="0.2">
      <c r="A19" s="11"/>
      <c r="B19" s="13"/>
      <c r="C19" s="14"/>
      <c r="D19" s="14"/>
      <c r="E19" s="14"/>
      <c r="F19" s="12"/>
    </row>
    <row r="20" spans="1:6" ht="20" thickBot="1" x14ac:dyDescent="0.25">
      <c r="A20" s="11"/>
      <c r="B20" s="28" t="s">
        <v>40</v>
      </c>
      <c r="C20" s="29"/>
      <c r="D20" s="30">
        <f>D18/D14</f>
        <v>1</v>
      </c>
      <c r="E20" s="49" t="str">
        <f>IF(Table24[[#This Row],[Column3]]&lt;0.85, "No Acredita", "Si Acredita")</f>
        <v>Si Acredita</v>
      </c>
      <c r="F20" s="12"/>
    </row>
    <row r="21" spans="1:6" ht="6" customHeight="1" x14ac:dyDescent="0.2">
      <c r="A21" s="11"/>
      <c r="B21" s="26"/>
      <c r="C21" s="27"/>
      <c r="D21" s="27"/>
      <c r="E21" s="27"/>
      <c r="F21" s="12"/>
    </row>
    <row r="22" spans="1:6" ht="89.25" customHeight="1" x14ac:dyDescent="0.2">
      <c r="A22" s="11"/>
      <c r="B22" s="103" t="str">
        <f>IF(D20&lt;0.85, "La organización no cuenta con el puntaje mínimo para obtener este Sello. Favor de ponerse en contacto con un consultor acreditado por SECTUR para solicitar la asesoría necesaria para la obtención del Sello.", "La organización supera el puntaje mínimo por lo que es candidata a obtener éste Sello. Favor de ponerse en contacto con un consultor acreditado por SECTUR para solicitar validación de evidencias.")</f>
        <v>La organización supera el puntaje mínimo por lo que es candidata a obtener éste Sello. Favor de ponerse en contacto con un consultor acreditado por SECTUR para solicitar validación de evidencias.</v>
      </c>
      <c r="C22" s="104"/>
      <c r="D22" s="104"/>
      <c r="E22" s="105"/>
      <c r="F22" s="15"/>
    </row>
    <row r="23" spans="1:6" ht="5.25" customHeight="1" thickBot="1" x14ac:dyDescent="0.25">
      <c r="A23" s="16"/>
      <c r="B23" s="17"/>
      <c r="C23" s="17"/>
      <c r="D23" s="17"/>
      <c r="E23" s="17"/>
      <c r="F23" s="18"/>
    </row>
    <row r="24" spans="1:6" ht="21.75" customHeight="1" x14ac:dyDescent="0.2"/>
    <row r="25" spans="1:6" ht="19" x14ac:dyDescent="0.25">
      <c r="B25" s="101" t="s">
        <v>2</v>
      </c>
      <c r="C25" s="101"/>
      <c r="D25" s="101"/>
      <c r="E25" s="101"/>
    </row>
    <row r="26" spans="1:6" ht="6" customHeight="1" x14ac:dyDescent="0.2">
      <c r="A26" s="37"/>
      <c r="B26" s="38"/>
      <c r="C26" s="38"/>
      <c r="D26" s="38"/>
      <c r="E26" s="38"/>
      <c r="F26" s="39"/>
    </row>
    <row r="27" spans="1:6" x14ac:dyDescent="0.2">
      <c r="A27" s="7"/>
      <c r="B27" s="19" t="s">
        <v>48</v>
      </c>
      <c r="C27" s="82" t="s">
        <v>14</v>
      </c>
      <c r="D27" s="83" t="s">
        <v>83</v>
      </c>
      <c r="E27" s="84" t="s">
        <v>84</v>
      </c>
      <c r="F27" s="40"/>
    </row>
    <row r="28" spans="1:6" x14ac:dyDescent="0.2">
      <c r="A28" s="7"/>
      <c r="B28" t="s">
        <v>41</v>
      </c>
      <c r="C28" s="5">
        <v>7</v>
      </c>
      <c r="D28" s="5">
        <v>5</v>
      </c>
      <c r="E28" s="5">
        <v>2</v>
      </c>
      <c r="F28" s="40"/>
    </row>
    <row r="29" spans="1:6" x14ac:dyDescent="0.2">
      <c r="A29" s="7"/>
      <c r="B29" t="s">
        <v>42</v>
      </c>
      <c r="C29" s="5">
        <v>9</v>
      </c>
      <c r="D29" s="5">
        <v>2</v>
      </c>
      <c r="E29" s="5">
        <v>7</v>
      </c>
      <c r="F29" s="40"/>
    </row>
    <row r="30" spans="1:6" x14ac:dyDescent="0.2">
      <c r="A30" s="41"/>
      <c r="B30" t="s">
        <v>43</v>
      </c>
      <c r="C30" s="31">
        <v>8</v>
      </c>
      <c r="D30" s="31">
        <v>7</v>
      </c>
      <c r="E30" s="31">
        <v>1</v>
      </c>
      <c r="F30" s="40"/>
    </row>
    <row r="31" spans="1:6" x14ac:dyDescent="0.2">
      <c r="A31" s="41"/>
      <c r="B31" t="s">
        <v>64</v>
      </c>
      <c r="C31" s="31">
        <v>11</v>
      </c>
      <c r="D31" s="31">
        <v>6</v>
      </c>
      <c r="E31" s="31">
        <v>5</v>
      </c>
      <c r="F31" s="40"/>
    </row>
    <row r="32" spans="1:6" x14ac:dyDescent="0.2">
      <c r="A32" s="41"/>
      <c r="B32" t="s">
        <v>44</v>
      </c>
      <c r="C32" s="31">
        <v>4</v>
      </c>
      <c r="D32" s="31">
        <v>3</v>
      </c>
      <c r="E32" s="31">
        <v>1</v>
      </c>
      <c r="F32" s="40"/>
    </row>
    <row r="33" spans="1:6" x14ac:dyDescent="0.2">
      <c r="A33" s="7"/>
      <c r="B33" s="32" t="s">
        <v>15</v>
      </c>
      <c r="C33" s="33">
        <f>SUM(C28:C32)</f>
        <v>39</v>
      </c>
      <c r="D33" s="34">
        <f>SUM(D28:D32)</f>
        <v>23</v>
      </c>
      <c r="E33" s="35">
        <f>SUM(E28:E32)</f>
        <v>16</v>
      </c>
      <c r="F33" s="40"/>
    </row>
    <row r="34" spans="1:6" ht="6" customHeight="1" x14ac:dyDescent="0.2">
      <c r="A34" s="42"/>
      <c r="B34" s="43"/>
      <c r="C34" s="43"/>
      <c r="D34" s="43"/>
      <c r="E34" s="43"/>
      <c r="F34" s="44"/>
    </row>
    <row r="35" spans="1:6" ht="24.75" customHeight="1" x14ac:dyDescent="0.2"/>
    <row r="36" spans="1:6" ht="19" x14ac:dyDescent="0.25">
      <c r="B36" s="100" t="s">
        <v>45</v>
      </c>
      <c r="C36" s="100"/>
      <c r="D36" s="100"/>
      <c r="E36" s="100"/>
    </row>
    <row r="37" spans="1:6" ht="3" customHeight="1" x14ac:dyDescent="0.2"/>
    <row r="38" spans="1:6" ht="7.5" customHeight="1" x14ac:dyDescent="0.2">
      <c r="A38" s="37"/>
      <c r="B38" s="38"/>
      <c r="C38" s="38"/>
      <c r="D38" s="38"/>
      <c r="E38" s="38"/>
      <c r="F38" s="39"/>
    </row>
    <row r="39" spans="1:6" ht="19" x14ac:dyDescent="0.25">
      <c r="A39" s="7"/>
      <c r="B39" s="102" t="str">
        <f>B28</f>
        <v>1.- Comunicación</v>
      </c>
      <c r="C39" s="102"/>
      <c r="D39" s="102"/>
      <c r="E39" s="102"/>
      <c r="F39" s="40"/>
    </row>
    <row r="40" spans="1:6" x14ac:dyDescent="0.2">
      <c r="A40" s="7"/>
      <c r="B40" s="19"/>
      <c r="C40" s="20" t="s">
        <v>31</v>
      </c>
      <c r="D40" s="21" t="s">
        <v>32</v>
      </c>
      <c r="E40" s="21" t="s">
        <v>33</v>
      </c>
      <c r="F40" s="40"/>
    </row>
    <row r="41" spans="1:6" ht="16" x14ac:dyDescent="0.2">
      <c r="A41" s="7"/>
      <c r="B41" s="13" t="s">
        <v>85</v>
      </c>
      <c r="C41" s="22">
        <f>COUNTIFS('Lista de Verificación'!$A$2:$A$40, "1", 'Lista de Verificación'!$C$2:$C$40,"P",'Lista de Verificación'!$F$2:$F$40, "SI")</f>
        <v>5</v>
      </c>
      <c r="D41" s="22">
        <f>C41*2</f>
        <v>10</v>
      </c>
      <c r="E41" s="23">
        <f>D41/D43</f>
        <v>0.83333333333333337</v>
      </c>
      <c r="F41" s="40"/>
    </row>
    <row r="42" spans="1:6" ht="16" x14ac:dyDescent="0.2">
      <c r="A42" s="7"/>
      <c r="B42" s="13" t="s">
        <v>87</v>
      </c>
      <c r="C42" s="22">
        <f>COUNTIFS('Lista de Verificación'!$A$2:$A$40, "1", 'Lista de Verificación'!$C$2:$C$40,"C",'Lista de Verificación'!$F$2:$F$40, "SI")</f>
        <v>2</v>
      </c>
      <c r="D42" s="22">
        <f>C42*1</f>
        <v>2</v>
      </c>
      <c r="E42" s="23">
        <f>D42/D43</f>
        <v>0.16666666666666666</v>
      </c>
      <c r="F42" s="40"/>
    </row>
    <row r="43" spans="1:6" ht="16" x14ac:dyDescent="0.2">
      <c r="A43" s="7"/>
      <c r="B43" s="24" t="s">
        <v>36</v>
      </c>
      <c r="C43" s="21"/>
      <c r="D43" s="21">
        <f>D41+D42</f>
        <v>12</v>
      </c>
      <c r="E43" s="21"/>
      <c r="F43" s="40"/>
    </row>
    <row r="44" spans="1:6" ht="6.75" customHeight="1" x14ac:dyDescent="0.2">
      <c r="A44" s="7"/>
      <c r="B44" s="13"/>
      <c r="C44" s="14"/>
      <c r="D44" s="14"/>
      <c r="E44" s="14"/>
      <c r="F44" s="40"/>
    </row>
    <row r="45" spans="1:6" ht="16" x14ac:dyDescent="0.2">
      <c r="A45" s="7"/>
      <c r="B45" s="13" t="s">
        <v>86</v>
      </c>
      <c r="C45" s="22">
        <f>COUNTIFS('Lista de Verificación'!$A$2:$A$40, "1",'Lista de Verificación'!$C$2:$C$40,"P",'Lista de Verificación'!$F$2:$F$40, "SI", 'Lista de Verificación'!$H$2:$H$40, "X")</f>
        <v>5</v>
      </c>
      <c r="D45" s="22">
        <f>C45*2</f>
        <v>10</v>
      </c>
      <c r="E45" s="23">
        <f>D45/D47</f>
        <v>0.83333333333333337</v>
      </c>
      <c r="F45" s="40"/>
    </row>
    <row r="46" spans="1:6" ht="16" x14ac:dyDescent="0.2">
      <c r="A46" s="7"/>
      <c r="B46" s="13" t="s">
        <v>88</v>
      </c>
      <c r="C46" s="22">
        <f>COUNTIFS('Lista de Verificación'!$A$2:$A$40, "1", 'Lista de Verificación'!$C$2:$C$40,"C",'Lista de Verificación'!$F$2:$F$40, "SI", 'Lista de Verificación'!$H$2:$H$40, "X")</f>
        <v>2</v>
      </c>
      <c r="D46" s="22">
        <f>C46*1</f>
        <v>2</v>
      </c>
      <c r="E46" s="23">
        <f>D46/D47</f>
        <v>0.16666666666666666</v>
      </c>
      <c r="F46" s="40"/>
    </row>
    <row r="47" spans="1:6" ht="16" x14ac:dyDescent="0.2">
      <c r="A47" s="7"/>
      <c r="B47" s="24" t="s">
        <v>39</v>
      </c>
      <c r="C47" s="25"/>
      <c r="D47" s="21">
        <f>D45+D46</f>
        <v>12</v>
      </c>
      <c r="E47" s="25"/>
      <c r="F47" s="40"/>
    </row>
    <row r="48" spans="1:6" ht="6.75" customHeight="1" x14ac:dyDescent="0.2">
      <c r="A48" s="7"/>
      <c r="B48" s="13"/>
      <c r="C48" s="14"/>
      <c r="D48" s="14"/>
      <c r="E48" s="14"/>
      <c r="F48" s="40"/>
    </row>
    <row r="49" spans="1:6" ht="19" x14ac:dyDescent="0.2">
      <c r="A49" s="7"/>
      <c r="B49" s="45" t="s">
        <v>40</v>
      </c>
      <c r="C49" s="46"/>
      <c r="D49" s="47">
        <f>D47/D43</f>
        <v>1</v>
      </c>
      <c r="E49" s="48"/>
      <c r="F49" s="40"/>
    </row>
    <row r="50" spans="1:6" ht="9" customHeight="1" x14ac:dyDescent="0.2">
      <c r="A50" s="42"/>
      <c r="B50" s="43"/>
      <c r="C50" s="43"/>
      <c r="D50" s="43"/>
      <c r="E50" s="43"/>
      <c r="F50" s="44"/>
    </row>
    <row r="52" spans="1:6" ht="5.25" customHeight="1" x14ac:dyDescent="0.2">
      <c r="A52" s="37"/>
      <c r="B52" s="38"/>
      <c r="C52" s="38"/>
      <c r="D52" s="38"/>
      <c r="E52" s="38"/>
      <c r="F52" s="39"/>
    </row>
    <row r="53" spans="1:6" ht="19" x14ac:dyDescent="0.25">
      <c r="A53" s="7"/>
      <c r="B53" s="102" t="str">
        <f>B29</f>
        <v>2.- Instalaciones</v>
      </c>
      <c r="C53" s="102"/>
      <c r="D53" s="102"/>
      <c r="E53" s="102"/>
      <c r="F53" s="40"/>
    </row>
    <row r="54" spans="1:6" x14ac:dyDescent="0.2">
      <c r="A54" s="7"/>
      <c r="B54" s="19"/>
      <c r="C54" s="20" t="s">
        <v>31</v>
      </c>
      <c r="D54" s="21" t="s">
        <v>32</v>
      </c>
      <c r="E54" s="21" t="s">
        <v>33</v>
      </c>
      <c r="F54" s="40"/>
    </row>
    <row r="55" spans="1:6" ht="16" x14ac:dyDescent="0.2">
      <c r="A55" s="7"/>
      <c r="B55" s="13" t="s">
        <v>85</v>
      </c>
      <c r="C55" s="22">
        <f>COUNTIFS('Lista de Verificación'!$A$2:$A$40, "2", 'Lista de Verificación'!$C$2:$C$40,"P",'Lista de Verificación'!$F$2:$F$40, "SI")</f>
        <v>2</v>
      </c>
      <c r="D55" s="22">
        <f>C55*2</f>
        <v>4</v>
      </c>
      <c r="E55" s="23">
        <f>D55/D57</f>
        <v>0.36363636363636365</v>
      </c>
      <c r="F55" s="40"/>
    </row>
    <row r="56" spans="1:6" ht="16" x14ac:dyDescent="0.2">
      <c r="A56" s="7"/>
      <c r="B56" s="13" t="s">
        <v>87</v>
      </c>
      <c r="C56" s="22">
        <f>COUNTIFS('Lista de Verificación'!$A$2:$A$40, "2", 'Lista de Verificación'!$C$2:$C$40,"C",'Lista de Verificación'!$F$2:$F$40, "SI")</f>
        <v>7</v>
      </c>
      <c r="D56" s="22">
        <f>C56*1</f>
        <v>7</v>
      </c>
      <c r="E56" s="23">
        <f>D56/D57</f>
        <v>0.63636363636363635</v>
      </c>
      <c r="F56" s="40"/>
    </row>
    <row r="57" spans="1:6" ht="16" x14ac:dyDescent="0.2">
      <c r="A57" s="7"/>
      <c r="B57" s="24" t="s">
        <v>36</v>
      </c>
      <c r="C57" s="21"/>
      <c r="D57" s="21">
        <f>D55+D56</f>
        <v>11</v>
      </c>
      <c r="E57" s="21"/>
      <c r="F57" s="40"/>
    </row>
    <row r="58" spans="1:6" ht="6" customHeight="1" x14ac:dyDescent="0.2">
      <c r="A58" s="7"/>
      <c r="B58" s="13"/>
      <c r="C58" s="14"/>
      <c r="D58" s="14"/>
      <c r="E58" s="14"/>
      <c r="F58" s="40"/>
    </row>
    <row r="59" spans="1:6" ht="16" x14ac:dyDescent="0.2">
      <c r="A59" s="7"/>
      <c r="B59" s="13" t="s">
        <v>86</v>
      </c>
      <c r="C59" s="22">
        <f>COUNTIFS('Lista de Verificación'!$A$2:$A$40, "2",'Lista de Verificación'!$C$2:$C$40,"P",'Lista de Verificación'!$F$2:$F$40, "SI", 'Lista de Verificación'!$H$2:$H$40, "X")</f>
        <v>2</v>
      </c>
      <c r="D59" s="22">
        <f>C59*2</f>
        <v>4</v>
      </c>
      <c r="E59" s="23">
        <f>D59/D61</f>
        <v>0.36363636363636365</v>
      </c>
      <c r="F59" s="40"/>
    </row>
    <row r="60" spans="1:6" ht="16" x14ac:dyDescent="0.2">
      <c r="A60" s="7"/>
      <c r="B60" s="13" t="s">
        <v>88</v>
      </c>
      <c r="C60" s="22">
        <f>COUNTIFS('Lista de Verificación'!$A$2:$A$40, "2", 'Lista de Verificación'!$C$2:$C$40,"C",'Lista de Verificación'!$F$2:$F$40, "SI", 'Lista de Verificación'!$H$2:$H$40, "X")</f>
        <v>7</v>
      </c>
      <c r="D60" s="22">
        <f>C60*1</f>
        <v>7</v>
      </c>
      <c r="E60" s="23">
        <f>D60/D61</f>
        <v>0.63636363636363635</v>
      </c>
      <c r="F60" s="40"/>
    </row>
    <row r="61" spans="1:6" ht="16" x14ac:dyDescent="0.2">
      <c r="A61" s="7"/>
      <c r="B61" s="24" t="s">
        <v>39</v>
      </c>
      <c r="C61" s="25"/>
      <c r="D61" s="21">
        <f>D59+D60</f>
        <v>11</v>
      </c>
      <c r="E61" s="25"/>
      <c r="F61" s="40"/>
    </row>
    <row r="62" spans="1:6" ht="6" customHeight="1" x14ac:dyDescent="0.2">
      <c r="A62" s="7"/>
      <c r="B62" s="13"/>
      <c r="C62" s="14"/>
      <c r="D62" s="14"/>
      <c r="E62" s="14"/>
      <c r="F62" s="40"/>
    </row>
    <row r="63" spans="1:6" ht="19" x14ac:dyDescent="0.2">
      <c r="A63" s="7"/>
      <c r="B63" s="45" t="s">
        <v>40</v>
      </c>
      <c r="C63" s="46"/>
      <c r="D63" s="47">
        <f>D61/D57</f>
        <v>1</v>
      </c>
      <c r="E63" s="48"/>
      <c r="F63" s="40"/>
    </row>
    <row r="64" spans="1:6" ht="9" customHeight="1" x14ac:dyDescent="0.2">
      <c r="A64" s="42"/>
      <c r="B64" s="43"/>
      <c r="C64" s="43"/>
      <c r="D64" s="43"/>
      <c r="E64" s="43"/>
      <c r="F64" s="44"/>
    </row>
    <row r="66" spans="1:6" ht="5.25" customHeight="1" x14ac:dyDescent="0.2">
      <c r="A66" s="37"/>
      <c r="B66" s="38"/>
      <c r="C66" s="38"/>
      <c r="D66" s="38"/>
      <c r="E66" s="38"/>
      <c r="F66" s="39"/>
    </row>
    <row r="67" spans="1:6" ht="19" x14ac:dyDescent="0.25">
      <c r="A67" s="7"/>
      <c r="B67" s="102" t="str">
        <f>B30</f>
        <v>3.- Transparencia</v>
      </c>
      <c r="C67" s="102"/>
      <c r="D67" s="102"/>
      <c r="E67" s="102"/>
      <c r="F67" s="40"/>
    </row>
    <row r="68" spans="1:6" x14ac:dyDescent="0.2">
      <c r="A68" s="7"/>
      <c r="B68" s="19"/>
      <c r="C68" s="20" t="s">
        <v>31</v>
      </c>
      <c r="D68" s="21" t="s">
        <v>32</v>
      </c>
      <c r="E68" s="21" t="s">
        <v>33</v>
      </c>
      <c r="F68" s="40"/>
    </row>
    <row r="69" spans="1:6" ht="16" x14ac:dyDescent="0.2">
      <c r="A69" s="7"/>
      <c r="B69" s="13" t="s">
        <v>85</v>
      </c>
      <c r="C69" s="22">
        <f>COUNTIFS('Lista de Verificación'!$A$2:$A$40, "3", 'Lista de Verificación'!$C$2:$C$40,"P",'Lista de Verificación'!$F$2:$F$40, "SI")</f>
        <v>5</v>
      </c>
      <c r="D69" s="22">
        <f>C69*2</f>
        <v>10</v>
      </c>
      <c r="E69" s="23">
        <f>D69/D71</f>
        <v>1</v>
      </c>
      <c r="F69" s="40"/>
    </row>
    <row r="70" spans="1:6" ht="16" x14ac:dyDescent="0.2">
      <c r="A70" s="7"/>
      <c r="B70" s="13" t="s">
        <v>87</v>
      </c>
      <c r="C70" s="22">
        <f>COUNTIFS('Lista de Verificación'!$A$2:$A$40, "3", 'Lista de Verificación'!$C$2:$C$40,"C",'Lista de Verificación'!$F$2:$F$40, "SI")</f>
        <v>0</v>
      </c>
      <c r="D70" s="22">
        <f>C70*1</f>
        <v>0</v>
      </c>
      <c r="E70" s="23">
        <f>D70/D71</f>
        <v>0</v>
      </c>
      <c r="F70" s="40"/>
    </row>
    <row r="71" spans="1:6" ht="16" x14ac:dyDescent="0.2">
      <c r="A71" s="7"/>
      <c r="B71" s="24" t="s">
        <v>36</v>
      </c>
      <c r="C71" s="21"/>
      <c r="D71" s="21">
        <f>D69+D70</f>
        <v>10</v>
      </c>
      <c r="E71" s="21"/>
      <c r="F71" s="40"/>
    </row>
    <row r="72" spans="1:6" ht="6" customHeight="1" x14ac:dyDescent="0.2">
      <c r="A72" s="7"/>
      <c r="B72" s="13"/>
      <c r="C72" s="14"/>
      <c r="D72" s="14"/>
      <c r="E72" s="14"/>
      <c r="F72" s="40"/>
    </row>
    <row r="73" spans="1:6" ht="16" x14ac:dyDescent="0.2">
      <c r="A73" s="7"/>
      <c r="B73" s="13" t="s">
        <v>86</v>
      </c>
      <c r="C73" s="22">
        <f>COUNTIFS('Lista de Verificación'!$A$2:$A$40, "3",'Lista de Verificación'!$C$2:$C$40,"P",'Lista de Verificación'!$F$2:$F$40, "SI", 'Lista de Verificación'!$H$2:$H$40, "X")</f>
        <v>5</v>
      </c>
      <c r="D73" s="22">
        <f>C73*2</f>
        <v>10</v>
      </c>
      <c r="E73" s="23">
        <f>D73/D75</f>
        <v>1</v>
      </c>
      <c r="F73" s="40"/>
    </row>
    <row r="74" spans="1:6" ht="16" x14ac:dyDescent="0.2">
      <c r="A74" s="7"/>
      <c r="B74" s="13" t="s">
        <v>88</v>
      </c>
      <c r="C74" s="22">
        <f>COUNTIFS('Lista de Verificación'!$A$2:$A$40, "3", 'Lista de Verificación'!$C$2:$C$40,"C",'Lista de Verificación'!$F$2:$F$40, "SI", 'Lista de Verificación'!$H$2:$H$40, "X")</f>
        <v>0</v>
      </c>
      <c r="D74" s="22">
        <f>C74*1</f>
        <v>0</v>
      </c>
      <c r="E74" s="23">
        <f>D74/D75</f>
        <v>0</v>
      </c>
      <c r="F74" s="40"/>
    </row>
    <row r="75" spans="1:6" ht="16" x14ac:dyDescent="0.2">
      <c r="A75" s="7"/>
      <c r="B75" s="24" t="s">
        <v>39</v>
      </c>
      <c r="C75" s="25"/>
      <c r="D75" s="21">
        <f>D73+D74</f>
        <v>10</v>
      </c>
      <c r="E75" s="25"/>
      <c r="F75" s="40"/>
    </row>
    <row r="76" spans="1:6" ht="6" customHeight="1" x14ac:dyDescent="0.2">
      <c r="A76" s="7"/>
      <c r="B76" s="13"/>
      <c r="C76" s="14"/>
      <c r="D76" s="14"/>
      <c r="E76" s="14"/>
      <c r="F76" s="40"/>
    </row>
    <row r="77" spans="1:6" ht="19" x14ac:dyDescent="0.2">
      <c r="A77" s="7"/>
      <c r="B77" s="45" t="s">
        <v>40</v>
      </c>
      <c r="C77" s="46"/>
      <c r="D77" s="47">
        <f>D75/D71</f>
        <v>1</v>
      </c>
      <c r="E77" s="48"/>
      <c r="F77" s="40"/>
    </row>
    <row r="78" spans="1:6" ht="9" customHeight="1" x14ac:dyDescent="0.2">
      <c r="A78" s="42"/>
      <c r="B78" s="43"/>
      <c r="C78" s="43"/>
      <c r="D78" s="43"/>
      <c r="E78" s="43"/>
      <c r="F78" s="44"/>
    </row>
    <row r="80" spans="1:6" ht="5.25" customHeight="1" x14ac:dyDescent="0.2">
      <c r="A80" s="37"/>
      <c r="B80" s="38"/>
      <c r="C80" s="38"/>
      <c r="D80" s="38"/>
      <c r="E80" s="38"/>
      <c r="F80" s="39"/>
    </row>
    <row r="81" spans="1:6" ht="19" x14ac:dyDescent="0.25">
      <c r="A81" s="7"/>
      <c r="B81" s="102" t="str">
        <f>B31</f>
        <v>4.- Servicio</v>
      </c>
      <c r="C81" s="102"/>
      <c r="D81" s="102"/>
      <c r="E81" s="102"/>
      <c r="F81" s="40"/>
    </row>
    <row r="82" spans="1:6" x14ac:dyDescent="0.2">
      <c r="A82" s="7"/>
      <c r="B82" s="19"/>
      <c r="C82" s="20" t="s">
        <v>31</v>
      </c>
      <c r="D82" s="21" t="s">
        <v>32</v>
      </c>
      <c r="E82" s="21" t="s">
        <v>33</v>
      </c>
      <c r="F82" s="40"/>
    </row>
    <row r="83" spans="1:6" ht="16" x14ac:dyDescent="0.2">
      <c r="A83" s="7"/>
      <c r="B83" s="13" t="s">
        <v>85</v>
      </c>
      <c r="C83" s="22">
        <f>COUNTIFS('Lista de Verificación'!$A$2:$A$40, "4", 'Lista de Verificación'!$C$2:$C$40,"P",'Lista de Verificación'!$F$2:$F$40, "SI")</f>
        <v>6</v>
      </c>
      <c r="D83" s="22">
        <f>C83*2</f>
        <v>12</v>
      </c>
      <c r="E83" s="23">
        <f>D83/D85</f>
        <v>0.70588235294117652</v>
      </c>
      <c r="F83" s="40"/>
    </row>
    <row r="84" spans="1:6" ht="16" x14ac:dyDescent="0.2">
      <c r="A84" s="7"/>
      <c r="B84" s="13" t="s">
        <v>87</v>
      </c>
      <c r="C84" s="22">
        <f>COUNTIFS('Lista de Verificación'!$A$2:$A$40, "4", 'Lista de Verificación'!$C$2:$C$40,"C",'Lista de Verificación'!$F$2:$F$40, "SI")</f>
        <v>5</v>
      </c>
      <c r="D84" s="22">
        <f>C84*1</f>
        <v>5</v>
      </c>
      <c r="E84" s="23">
        <f>D84/D85</f>
        <v>0.29411764705882354</v>
      </c>
      <c r="F84" s="40"/>
    </row>
    <row r="85" spans="1:6" ht="16" x14ac:dyDescent="0.2">
      <c r="A85" s="7"/>
      <c r="B85" s="24" t="s">
        <v>36</v>
      </c>
      <c r="C85" s="21"/>
      <c r="D85" s="21">
        <f>D83+D84</f>
        <v>17</v>
      </c>
      <c r="E85" s="21"/>
      <c r="F85" s="40"/>
    </row>
    <row r="86" spans="1:6" ht="6" customHeight="1" x14ac:dyDescent="0.2">
      <c r="A86" s="7"/>
      <c r="B86" s="13"/>
      <c r="C86" s="14"/>
      <c r="D86" s="14"/>
      <c r="E86" s="14"/>
      <c r="F86" s="40"/>
    </row>
    <row r="87" spans="1:6" ht="16" x14ac:dyDescent="0.2">
      <c r="A87" s="7"/>
      <c r="B87" s="13" t="s">
        <v>86</v>
      </c>
      <c r="C87" s="22">
        <f>COUNTIFS('Lista de Verificación'!$A$2:$A$40, "4",'Lista de Verificación'!$C$2:$C$40,"P",'Lista de Verificación'!$F$2:$F$40, "SI", 'Lista de Verificación'!$H$2:$H$40, "X")</f>
        <v>6</v>
      </c>
      <c r="D87" s="22">
        <f>C87*2</f>
        <v>12</v>
      </c>
      <c r="E87" s="23">
        <f>D87/D89</f>
        <v>0.70588235294117652</v>
      </c>
      <c r="F87" s="40"/>
    </row>
    <row r="88" spans="1:6" ht="16" x14ac:dyDescent="0.2">
      <c r="A88" s="7"/>
      <c r="B88" s="13" t="s">
        <v>88</v>
      </c>
      <c r="C88" s="22">
        <f>COUNTIFS('Lista de Verificación'!$A$2:$A$40, "4", 'Lista de Verificación'!$C$2:$C$40,"C",'Lista de Verificación'!$F$2:$F$40, "SI", 'Lista de Verificación'!$H$2:$H$40, "X")</f>
        <v>5</v>
      </c>
      <c r="D88" s="22">
        <f>C88*1</f>
        <v>5</v>
      </c>
      <c r="E88" s="23">
        <f>D88/D89</f>
        <v>0.29411764705882354</v>
      </c>
      <c r="F88" s="40"/>
    </row>
    <row r="89" spans="1:6" ht="16" x14ac:dyDescent="0.2">
      <c r="A89" s="7"/>
      <c r="B89" s="24" t="s">
        <v>39</v>
      </c>
      <c r="C89" s="25"/>
      <c r="D89" s="21">
        <f>D87+D88</f>
        <v>17</v>
      </c>
      <c r="E89" s="25"/>
      <c r="F89" s="40"/>
    </row>
    <row r="90" spans="1:6" ht="6" customHeight="1" x14ac:dyDescent="0.2">
      <c r="A90" s="7"/>
      <c r="B90" s="13"/>
      <c r="C90" s="14"/>
      <c r="D90" s="14"/>
      <c r="E90" s="14"/>
      <c r="F90" s="40"/>
    </row>
    <row r="91" spans="1:6" ht="19" x14ac:dyDescent="0.2">
      <c r="A91" s="7"/>
      <c r="B91" s="45" t="s">
        <v>40</v>
      </c>
      <c r="C91" s="46"/>
      <c r="D91" s="47">
        <f>D89/D85</f>
        <v>1</v>
      </c>
      <c r="E91" s="48"/>
      <c r="F91" s="40"/>
    </row>
    <row r="92" spans="1:6" ht="9" customHeight="1" x14ac:dyDescent="0.2">
      <c r="A92" s="42"/>
      <c r="B92" s="43"/>
      <c r="C92" s="43"/>
      <c r="D92" s="43"/>
      <c r="E92" s="43"/>
      <c r="F92" s="44"/>
    </row>
    <row r="94" spans="1:6" ht="5.25" customHeight="1" x14ac:dyDescent="0.2">
      <c r="A94" s="37"/>
      <c r="B94" s="38"/>
      <c r="C94" s="38"/>
      <c r="D94" s="38"/>
      <c r="E94" s="38"/>
      <c r="F94" s="39"/>
    </row>
    <row r="95" spans="1:6" ht="19" x14ac:dyDescent="0.25">
      <c r="A95" s="7"/>
      <c r="B95" s="102" t="str">
        <f>B32</f>
        <v>5.- Educación</v>
      </c>
      <c r="C95" s="102"/>
      <c r="D95" s="102"/>
      <c r="E95" s="102"/>
      <c r="F95" s="40"/>
    </row>
    <row r="96" spans="1:6" x14ac:dyDescent="0.2">
      <c r="A96" s="7"/>
      <c r="B96" s="19"/>
      <c r="C96" s="20" t="s">
        <v>31</v>
      </c>
      <c r="D96" s="21" t="s">
        <v>32</v>
      </c>
      <c r="E96" s="21" t="s">
        <v>33</v>
      </c>
      <c r="F96" s="40"/>
    </row>
    <row r="97" spans="1:6" ht="16" x14ac:dyDescent="0.2">
      <c r="A97" s="7"/>
      <c r="B97" s="13" t="s">
        <v>85</v>
      </c>
      <c r="C97" s="22">
        <f>COUNTIFS('Lista de Verificación'!$A$2:$A$40, "5", 'Lista de Verificación'!$C$2:$C$40,"P",'Lista de Verificación'!$F$2:$F$40, "SI")</f>
        <v>3</v>
      </c>
      <c r="D97" s="22">
        <f>C97*2</f>
        <v>6</v>
      </c>
      <c r="E97" s="23">
        <f>D97/D99</f>
        <v>0.8571428571428571</v>
      </c>
      <c r="F97" s="40"/>
    </row>
    <row r="98" spans="1:6" ht="16" x14ac:dyDescent="0.2">
      <c r="A98" s="7"/>
      <c r="B98" s="13" t="s">
        <v>87</v>
      </c>
      <c r="C98" s="22">
        <f>COUNTIFS('Lista de Verificación'!$A$2:$A$40, "5", 'Lista de Verificación'!$C$2:$C$40,"C",'Lista de Verificación'!$F$2:$F$40, "SI")</f>
        <v>1</v>
      </c>
      <c r="D98" s="22">
        <f>C98*1</f>
        <v>1</v>
      </c>
      <c r="E98" s="23">
        <f>D98/D99</f>
        <v>0.14285714285714285</v>
      </c>
      <c r="F98" s="40"/>
    </row>
    <row r="99" spans="1:6" ht="16" x14ac:dyDescent="0.2">
      <c r="A99" s="7"/>
      <c r="B99" s="24" t="s">
        <v>36</v>
      </c>
      <c r="C99" s="21"/>
      <c r="D99" s="21">
        <f>D97+D98</f>
        <v>7</v>
      </c>
      <c r="E99" s="21"/>
      <c r="F99" s="40"/>
    </row>
    <row r="100" spans="1:6" ht="6" customHeight="1" x14ac:dyDescent="0.2">
      <c r="A100" s="7"/>
      <c r="B100" s="13"/>
      <c r="C100" s="14"/>
      <c r="D100" s="14"/>
      <c r="E100" s="14"/>
      <c r="F100" s="40"/>
    </row>
    <row r="101" spans="1:6" ht="16" x14ac:dyDescent="0.2">
      <c r="A101" s="7"/>
      <c r="B101" s="13" t="s">
        <v>86</v>
      </c>
      <c r="C101" s="22">
        <f>COUNTIFS('Lista de Verificación'!$A$2:$A$40, "5",'Lista de Verificación'!$C$2:$C$40,"P",'Lista de Verificación'!$F$2:$F$40, "SI", 'Lista de Verificación'!$H$2:$H$40, "X")</f>
        <v>3</v>
      </c>
      <c r="D101" s="22">
        <f>C101*2</f>
        <v>6</v>
      </c>
      <c r="E101" s="23">
        <f>D101/D103</f>
        <v>0.8571428571428571</v>
      </c>
      <c r="F101" s="40"/>
    </row>
    <row r="102" spans="1:6" ht="16" x14ac:dyDescent="0.2">
      <c r="A102" s="7"/>
      <c r="B102" s="13" t="s">
        <v>88</v>
      </c>
      <c r="C102" s="22">
        <f>COUNTIFS('Lista de Verificación'!$A$2:$A$40, "5", 'Lista de Verificación'!$C$2:$C$40,"C",'Lista de Verificación'!$F$2:$F$40, "SI", 'Lista de Verificación'!$H$2:$H$40, "X")</f>
        <v>1</v>
      </c>
      <c r="D102" s="22">
        <f>C102*1</f>
        <v>1</v>
      </c>
      <c r="E102" s="23">
        <f>D102/D103</f>
        <v>0.14285714285714285</v>
      </c>
      <c r="F102" s="40"/>
    </row>
    <row r="103" spans="1:6" ht="16" x14ac:dyDescent="0.2">
      <c r="A103" s="7"/>
      <c r="B103" s="24" t="s">
        <v>39</v>
      </c>
      <c r="C103" s="25"/>
      <c r="D103" s="21">
        <f>D101+D102</f>
        <v>7</v>
      </c>
      <c r="E103" s="25"/>
      <c r="F103" s="40"/>
    </row>
    <row r="104" spans="1:6" ht="6" customHeight="1" x14ac:dyDescent="0.2">
      <c r="A104" s="7"/>
      <c r="B104" s="13"/>
      <c r="C104" s="14"/>
      <c r="D104" s="14"/>
      <c r="E104" s="14"/>
      <c r="F104" s="40"/>
    </row>
    <row r="105" spans="1:6" ht="19" x14ac:dyDescent="0.2">
      <c r="A105" s="7"/>
      <c r="B105" s="45" t="s">
        <v>40</v>
      </c>
      <c r="C105" s="46"/>
      <c r="D105" s="47">
        <f>D103/D99</f>
        <v>1</v>
      </c>
      <c r="E105" s="48"/>
      <c r="F105" s="40"/>
    </row>
    <row r="106" spans="1:6" ht="9" customHeight="1" x14ac:dyDescent="0.2">
      <c r="A106" s="42"/>
      <c r="B106" s="43"/>
      <c r="C106" s="43"/>
      <c r="D106" s="43"/>
      <c r="E106" s="43"/>
      <c r="F106" s="44"/>
    </row>
  </sheetData>
  <sheetProtection algorithmName="SHA-512" hashValue="y9C4x+CeJ1/bSzUz7EFqVXrgJXGy4KjPXo3Mc08uUBUfrfh2IZkJgVhA3rBzoIkuwMwEvCyH2EXhNfr0VpmX9A==" saltValue="to9SWDoxWaBL6jYatmlz0w==" spinCount="100000" sheet="1" objects="1" scenarios="1" selectLockedCells="1"/>
  <mergeCells count="12">
    <mergeCell ref="B2:E2"/>
    <mergeCell ref="B36:E36"/>
    <mergeCell ref="B25:E25"/>
    <mergeCell ref="B81:E81"/>
    <mergeCell ref="B95:E95"/>
    <mergeCell ref="B39:E39"/>
    <mergeCell ref="B9:E9"/>
    <mergeCell ref="B53:E53"/>
    <mergeCell ref="B67:E67"/>
    <mergeCell ref="B22:E22"/>
    <mergeCell ref="C6:E6"/>
    <mergeCell ref="D5:E5"/>
  </mergeCells>
  <phoneticPr fontId="25" type="noConversion"/>
  <pageMargins left="0.74803149606299213" right="0.74803149606299213" top="0.98425196850393704" bottom="0.98425196850393704" header="0.51181102362204722" footer="0.51181102362204722"/>
  <pageSetup scale="82" fitToHeight="3" orientation="portrait" horizontalDpi="4294967292" verticalDpi="4294967292" r:id="rId1"/>
  <tableParts count="7">
    <tablePart r:id="rId2"/>
    <tablePart r:id="rId3"/>
    <tablePart r:id="rId4"/>
    <tablePart r:id="rId5"/>
    <tablePart r:id="rId6"/>
    <tablePart r:id="rId7"/>
    <tablePart r:id="rId8"/>
  </tablePar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Instructivo </vt:lpstr>
      <vt:lpstr>Lista de Verificación</vt:lpstr>
      <vt:lpstr>REPORTE DE EVALUACIÓN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Celeste Gutirrez Arrambide</dc:creator>
  <cp:lastModifiedBy>Microsoft Office User</cp:lastModifiedBy>
  <cp:lastPrinted>2024-10-01T22:53:36Z</cp:lastPrinted>
  <dcterms:created xsi:type="dcterms:W3CDTF">2014-08-13T01:58:25Z</dcterms:created>
  <dcterms:modified xsi:type="dcterms:W3CDTF">2026-06-26T15:29:17Z</dcterms:modified>
</cp:coreProperties>
</file>